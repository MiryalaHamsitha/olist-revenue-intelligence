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Overview" sheetId="1" state="visible" r:id="rId3"/>
    <sheet name="Seller Intelligence" sheetId="2" state="visible" r:id="rId4"/>
    <sheet name="Operational Impact" sheetId="3" state="visible" r:id="rId5"/>
    <sheet name="Revenue Stability" sheetId="4" state="visible" r:id="rId6"/>
    <sheet name="Margin Risk Scoring" sheetId="5" state="visible" r:id="rId7"/>
    <sheet name="Strategic Recommendations" sheetId="6" state="visible" r:id="rId8"/>
    <sheet name="SQL Reference Model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<sst xmlns="http://schemas.openxmlformats.org/spreadsheetml/2006/main" count="1672" uniqueCount="609">
  <si>
    <t xml:space="preserve">REVENUE QUALITY &amp; MARGIN INTELLIGENCE MODEL  |  Olist E-Commerce</t>
  </si>
  <si>
    <t xml:space="preserve">Executive Overview  —  Full Dataset Analysis  |  96,470 Delivered Orders  |  2,960 Active Sellers</t>
  </si>
  <si>
    <t xml:space="preserve">Total Revenue</t>
  </si>
  <si>
    <t xml:space="preserve">Total Profit</t>
  </si>
  <si>
    <t xml:space="preserve">Avg Contribution Margin</t>
  </si>
  <si>
    <t xml:space="preserve">Delay Rate</t>
  </si>
  <si>
    <t xml:space="preserve">Revenue Stability</t>
  </si>
  <si>
    <t xml:space="preserve">$15.42M</t>
  </si>
  <si>
    <t xml:space="preserve">$3.97M</t>
  </si>
  <si>
    <t xml:space="preserve">23.7%</t>
  </si>
  <si>
    <t xml:space="preserve">8.1%</t>
  </si>
  <si>
    <t xml:space="preserve">Moderate</t>
  </si>
  <si>
    <t xml:space="preserve">Active Sellers</t>
  </si>
  <si>
    <t xml:space="preserve">Total Orders</t>
  </si>
  <si>
    <t xml:space="preserve">Renegotiation Targets</t>
  </si>
  <si>
    <t xml:space="preserve">High Risk Sellers</t>
  </si>
  <si>
    <t xml:space="preserve">Top 10 Rev Share</t>
  </si>
  <si>
    <t xml:space="preserve">2,960</t>
  </si>
  <si>
    <t xml:space="preserve">96,470</t>
  </si>
  <si>
    <t xml:space="preserve">617</t>
  </si>
  <si>
    <t xml:space="preserve">22</t>
  </si>
  <si>
    <t xml:space="preserve">12.9%</t>
  </si>
  <si>
    <t xml:space="preserve">MONTHLY REVENUE TREND</t>
  </si>
  <si>
    <t xml:space="preserve">Month</t>
  </si>
  <si>
    <t xml:space="preserve">Revenue ($)</t>
  </si>
  <si>
    <t xml:space="preserve">Orders</t>
  </si>
  <si>
    <t xml:space="preserve">Avg Order Value ($)</t>
  </si>
  <si>
    <t xml:space="preserve">MoM Revenue Chg</t>
  </si>
  <si>
    <t xml:space="preserve">Cumulative Revenue ($)</t>
  </si>
  <si>
    <t xml:space="preserve">Run Rate Ann. ($)</t>
  </si>
  <si>
    <t xml:space="preserve">Trend</t>
  </si>
  <si>
    <t xml:space="preserve">2016-09</t>
  </si>
  <si>
    <t xml:space="preserve">-</t>
  </si>
  <si>
    <t xml:space="preserve">—</t>
  </si>
  <si>
    <t xml:space="preserve">2016-10</t>
  </si>
  <si>
    <t xml:space="preserve">▲</t>
  </si>
  <si>
    <t xml:space="preserve">2016-12</t>
  </si>
  <si>
    <t xml:space="preserve">▼</t>
  </si>
  <si>
    <t xml:space="preserve">2017-01</t>
  </si>
  <si>
    <t xml:space="preserve">2017-02</t>
  </si>
  <si>
    <t xml:space="preserve">2017-03</t>
  </si>
  <si>
    <t xml:space="preserve">2017-04</t>
  </si>
  <si>
    <t xml:space="preserve">2017-05</t>
  </si>
  <si>
    <t xml:space="preserve">2017-06</t>
  </si>
  <si>
    <t xml:space="preserve">2017-07</t>
  </si>
  <si>
    <t xml:space="preserve">2017-08</t>
  </si>
  <si>
    <t xml:space="preserve">2017-09</t>
  </si>
  <si>
    <t xml:space="preserve">2017-10</t>
  </si>
  <si>
    <t xml:space="preserve">2017-11</t>
  </si>
  <si>
    <t xml:space="preserve">2017-12</t>
  </si>
  <si>
    <t xml:space="preserve">2018-01</t>
  </si>
  <si>
    <t xml:space="preserve">2018-02</t>
  </si>
  <si>
    <t xml:space="preserve">2018-03</t>
  </si>
  <si>
    <t xml:space="preserve">2018-04</t>
  </si>
  <si>
    <t xml:space="preserve">2018-05</t>
  </si>
  <si>
    <t xml:space="preserve">2018-06</t>
  </si>
  <si>
    <t xml:space="preserve">2018-07</t>
  </si>
  <si>
    <t xml:space="preserve">2018-08</t>
  </si>
  <si>
    <t xml:space="preserve">TOTAL</t>
  </si>
  <si>
    <t xml:space="preserve">SELLER PROFITABILITY INTELLIGENCE</t>
  </si>
  <si>
    <t xml:space="preserve">● Star (High Rev, High Margin)</t>
  </si>
  <si>
    <t xml:space="preserve">● Risk (High Rev, Low Margin)</t>
  </si>
  <si>
    <t xml:space="preserve">● Growth (Low Rev, High Margin)</t>
  </si>
  <si>
    <t xml:space="preserve">● Exit (Low Rev, Low Margin)</t>
  </si>
  <si>
    <t xml:space="preserve">SEGMENT SUMMARY</t>
  </si>
  <si>
    <t xml:space="preserve">Segment</t>
  </si>
  <si>
    <t xml:space="preserve">Seller Count</t>
  </si>
  <si>
    <t xml:space="preserve">Total Revenue ($)</t>
  </si>
  <si>
    <t xml:space="preserve">Avg Margin %</t>
  </si>
  <si>
    <t xml:space="preserve">Exit (Low Rev, Low Margin)</t>
  </si>
  <si>
    <t xml:space="preserve">Growth (Low Rev, High Margin)</t>
  </si>
  <si>
    <t xml:space="preserve">Risk (High Rev, Low Margin)</t>
  </si>
  <si>
    <t xml:space="preserve">Star (High Rev, High Margin)</t>
  </si>
  <si>
    <t xml:space="preserve">TOP 10 SELLERS BY REVENUE</t>
  </si>
  <si>
    <t xml:space="preserve">Rank</t>
  </si>
  <si>
    <t xml:space="preserve">Seller ID (Short)</t>
  </si>
  <si>
    <t xml:space="preserve">State</t>
  </si>
  <si>
    <t xml:space="preserve">Cost ($)</t>
  </si>
  <si>
    <t xml:space="preserve">Profit ($)</t>
  </si>
  <si>
    <t xml:space="preserve">Margin %</t>
  </si>
  <si>
    <t xml:space="preserve">Avg Order ($)</t>
  </si>
  <si>
    <t xml:space="preserve">Revenue Share %</t>
  </si>
  <si>
    <t xml:space="preserve">Delay Freq</t>
  </si>
  <si>
    <t xml:space="preserve">Risk Cat</t>
  </si>
  <si>
    <t xml:space="preserve">Review Score</t>
  </si>
  <si>
    <t xml:space="preserve">4869f7a5dfa2...</t>
  </si>
  <si>
    <t xml:space="preserve">SP</t>
  </si>
  <si>
    <t xml:space="preserve">Medium</t>
  </si>
  <si>
    <t xml:space="preserve">7c67e1448b00...</t>
  </si>
  <si>
    <t xml:space="preserve">4a3ca9315b74...</t>
  </si>
  <si>
    <t xml:space="preserve">53243585a1d6...</t>
  </si>
  <si>
    <t xml:space="preserve">BA</t>
  </si>
  <si>
    <t xml:space="preserve">fa1c13f2614d...</t>
  </si>
  <si>
    <t xml:space="preserve">da8622b14eb1...</t>
  </si>
  <si>
    <t xml:space="preserve">1025f0e2d44d...</t>
  </si>
  <si>
    <t xml:space="preserve">7e93a43ef30c...</t>
  </si>
  <si>
    <t xml:space="preserve">Low</t>
  </si>
  <si>
    <t xml:space="preserve">7a67c85e85bb...</t>
  </si>
  <si>
    <t xml:space="preserve">955fee9216a6...</t>
  </si>
  <si>
    <t xml:space="preserve">RENEGOTIATION CANDIDATES — HIGH REVENUE, LOW MARGIN SELLERS (617 sellers)</t>
  </si>
  <si>
    <t xml:space="preserve">Avg Review Score</t>
  </si>
  <si>
    <t xml:space="preserve">Priority Action</t>
  </si>
  <si>
    <t xml:space="preserve">Risk — Renegotiate</t>
  </si>
  <si>
    <t xml:space="preserve">MEDIUM — Monitor</t>
  </si>
  <si>
    <t xml:space="preserve">6560211a19b4...</t>
  </si>
  <si>
    <t xml:space="preserve">1f50f920176f...</t>
  </si>
  <si>
    <t xml:space="preserve">a1043bafd471...</t>
  </si>
  <si>
    <t xml:space="preserve">MG</t>
  </si>
  <si>
    <t xml:space="preserve">cc419e0650a3...</t>
  </si>
  <si>
    <t xml:space="preserve">3d871de0142c...</t>
  </si>
  <si>
    <t xml:space="preserve">cca3071e3e9b...</t>
  </si>
  <si>
    <t xml:space="preserve">f8db351d8c4c...</t>
  </si>
  <si>
    <t xml:space="preserve">ea8482cd71df...</t>
  </si>
  <si>
    <t xml:space="preserve">e9779976487b...</t>
  </si>
  <si>
    <t xml:space="preserve">391fc6631aeb...</t>
  </si>
  <si>
    <t xml:space="preserve">d91fb3b7d041...</t>
  </si>
  <si>
    <t xml:space="preserve">06a2c3af7b3a...</t>
  </si>
  <si>
    <t xml:space="preserve">MA</t>
  </si>
  <si>
    <t xml:space="preserve">1835b56ce799...</t>
  </si>
  <si>
    <t xml:space="preserve">7299e27ed73d...</t>
  </si>
  <si>
    <t xml:space="preserve">7178f9f4dd81...</t>
  </si>
  <si>
    <t xml:space="preserve">SC</t>
  </si>
  <si>
    <t xml:space="preserve">dbc22125167c...</t>
  </si>
  <si>
    <t xml:space="preserve">53e4c6e0f431...</t>
  </si>
  <si>
    <t xml:space="preserve">855668e0971d...</t>
  </si>
  <si>
    <t xml:space="preserve">87142160b413...</t>
  </si>
  <si>
    <t xml:space="preserve">RS</t>
  </si>
  <si>
    <t xml:space="preserve">0241d4d5d36f...</t>
  </si>
  <si>
    <t xml:space="preserve">PR</t>
  </si>
  <si>
    <t xml:space="preserve">1554a6853018...</t>
  </si>
  <si>
    <t xml:space="preserve">76d5af76d027...</t>
  </si>
  <si>
    <t xml:space="preserve">70a12e78e608...</t>
  </si>
  <si>
    <t xml:space="preserve">001cca7ae9ae...</t>
  </si>
  <si>
    <t xml:space="preserve">ES</t>
  </si>
  <si>
    <t xml:space="preserve">1900267e848c...</t>
  </si>
  <si>
    <t xml:space="preserve">59b22a78efb7...</t>
  </si>
  <si>
    <t xml:space="preserve">d23019c84ffa...</t>
  </si>
  <si>
    <t xml:space="preserve">OPERATIONAL IMPACT ANALYSIS — Delivery Performance</t>
  </si>
  <si>
    <t xml:space="preserve">Total Delayed Orders</t>
  </si>
  <si>
    <t xml:space="preserve">Overall Delay Rate</t>
  </si>
  <si>
    <t xml:space="preserve">Avg Delay (Days)</t>
  </si>
  <si>
    <t xml:space="preserve">On-Time Rate</t>
  </si>
  <si>
    <t xml:space="preserve">7,826</t>
  </si>
  <si>
    <t xml:space="preserve">9.6</t>
  </si>
  <si>
    <t xml:space="preserve">91.9%</t>
  </si>
  <si>
    <t xml:space="preserve">DELIVERY DELAY BY REGION (Seller State)</t>
  </si>
  <si>
    <t xml:space="preserve">Delay Rate %</t>
  </si>
  <si>
    <t xml:space="preserve">Avg Revenue ($)</t>
  </si>
  <si>
    <t xml:space="preserve">Risk Level</t>
  </si>
  <si>
    <t xml:space="preserve">Action</t>
  </si>
  <si>
    <t xml:space="preserve">AM</t>
  </si>
  <si>
    <t xml:space="preserve">CRITICAL</t>
  </si>
  <si>
    <t xml:space="preserve">Urgent review</t>
  </si>
  <si>
    <t xml:space="preserve">LOW</t>
  </si>
  <si>
    <t xml:space="preserve">On track</t>
  </si>
  <si>
    <t xml:space="preserve">PA</t>
  </si>
  <si>
    <t xml:space="preserve">RJ</t>
  </si>
  <si>
    <t xml:space="preserve">CE</t>
  </si>
  <si>
    <t xml:space="preserve">DF</t>
  </si>
  <si>
    <t xml:space="preserve">RN</t>
  </si>
  <si>
    <t xml:space="preserve">GO</t>
  </si>
  <si>
    <t xml:space="preserve">PI</t>
  </si>
  <si>
    <t xml:space="preserve">MT</t>
  </si>
  <si>
    <t xml:space="preserve">PE</t>
  </si>
  <si>
    <t xml:space="preserve">MS</t>
  </si>
  <si>
    <t xml:space="preserve">SE</t>
  </si>
  <si>
    <t xml:space="preserve">PB</t>
  </si>
  <si>
    <t xml:space="preserve">RO</t>
  </si>
  <si>
    <t xml:space="preserve">TOP 20 HIGH-DELAY SELLERS</t>
  </si>
  <si>
    <t xml:space="preserve">Seller ID</t>
  </si>
  <si>
    <t xml:space="preserve">Delayed Orders</t>
  </si>
  <si>
    <t xml:space="preserve">Revenue Impact ($)</t>
  </si>
  <si>
    <t xml:space="preserve">df683dfda87bf71a...</t>
  </si>
  <si>
    <t xml:space="preserve">e09887ca8c7bf8a4...</t>
  </si>
  <si>
    <t xml:space="preserve">8e670472e453ba34...</t>
  </si>
  <si>
    <t xml:space="preserve">4fb41dff7c501369...</t>
  </si>
  <si>
    <t xml:space="preserve">8629a7efec1aab25...</t>
  </si>
  <si>
    <t xml:space="preserve">6f1a1263039c76e6...</t>
  </si>
  <si>
    <t xml:space="preserve">eebb3372362aa9a4...</t>
  </si>
  <si>
    <t xml:space="preserve">be1e9e378700ceca...</t>
  </si>
  <si>
    <t xml:space="preserve">9b522ba7eae9e1d0...</t>
  </si>
  <si>
    <t xml:space="preserve">391bbd13b6452244...</t>
  </si>
  <si>
    <t xml:space="preserve">586a871d4f122176...</t>
  </si>
  <si>
    <t xml:space="preserve">427165bf50f8ca07...</t>
  </si>
  <si>
    <t xml:space="preserve">20d53aad4fe5ee93...</t>
  </si>
  <si>
    <t xml:space="preserve">2a50b7ee5aebecc6...</t>
  </si>
  <si>
    <t xml:space="preserve">a154d7316f158bb4...</t>
  </si>
  <si>
    <t xml:space="preserve">7a91bf945c6fae07...</t>
  </si>
  <si>
    <t xml:space="preserve">6524b847b982cd56...</t>
  </si>
  <si>
    <t xml:space="preserve">685b870da5b52a71...</t>
  </si>
  <si>
    <t xml:space="preserve">6d04126aba80df14...</t>
  </si>
  <si>
    <t xml:space="preserve">c7b7db6c8f3c64a7...</t>
  </si>
  <si>
    <t xml:space="preserve">REVENUE STABILITY &amp; CONCENTRATION RISK</t>
  </si>
  <si>
    <t xml:space="preserve">Revenue Volatility (CV)</t>
  </si>
  <si>
    <t xml:space="preserve">Stability Rating</t>
  </si>
  <si>
    <t xml:space="preserve">Top 10 Seller Share</t>
  </si>
  <si>
    <t xml:space="preserve">0.59</t>
  </si>
  <si>
    <t xml:space="preserve">MONTHLY REVENUE — VOLATILITY ANALYSIS</t>
  </si>
  <si>
    <t xml:space="preserve">REVENUE CONCENTRATION — TOP 10 SELLERS</t>
  </si>
  <si>
    <t xml:space="preserve">vs Mean</t>
  </si>
  <si>
    <t xml:space="preserve">Deviation ($)</t>
  </si>
  <si>
    <t xml:space="preserve">Rolling 3M Avg ($)</t>
  </si>
  <si>
    <t xml:space="preserve">Stability Signal</t>
  </si>
  <si>
    <t xml:space="preserve">Share %</t>
  </si>
  <si>
    <t xml:space="preserve">BELOW TREND</t>
  </si>
  <si>
    <t xml:space="preserve">NORMAL</t>
  </si>
  <si>
    <t xml:space="preserve">ABOVE TREND</t>
  </si>
  <si>
    <t xml:space="preserve">Mean Monthly Revenue</t>
  </si>
  <si>
    <t xml:space="preserve">Std Deviation</t>
  </si>
  <si>
    <t xml:space="preserve">Coefficient of Variation</t>
  </si>
  <si>
    <t xml:space="preserve">Top 20 Concentration Ratio</t>
  </si>
  <si>
    <t xml:space="preserve">MARGIN RISK SCORING MODEL — Composite Seller Risk Index</t>
  </si>
  <si>
    <t xml:space="preserve">SCORING METHODOLOGY: Margin Risk Score = 40% × (Normalized Margin Risk) + 35% × (Normalized Delay Frequency) + 25% × (Normalized Revenue Concentration) | Scale: 0 (Low Risk) → 100 (Critical Risk)</t>
  </si>
  <si>
    <t xml:space="preserve">● LOW (0–30)</t>
  </si>
  <si>
    <t xml:space="preserve">Healthy seller — standard management</t>
  </si>
  <si>
    <t xml:space="preserve">● MEDIUM (30–50)</t>
  </si>
  <si>
    <t xml:space="preserve">Monitor closely — early warning</t>
  </si>
  <si>
    <t xml:space="preserve">● HIGH (50–70)</t>
  </si>
  <si>
    <t xml:space="preserve">Intervention required</t>
  </si>
  <si>
    <t xml:space="preserve">● CRITICAL (70–100)</t>
  </si>
  <si>
    <t xml:space="preserve">Immediate action — renegotiate or exit</t>
  </si>
  <si>
    <t xml:space="preserve">Risk Rank</t>
  </si>
  <si>
    <t xml:space="preserve">Margin Risk Score</t>
  </si>
  <si>
    <t xml:space="preserve">Risk Category</t>
  </si>
  <si>
    <t xml:space="preserve">Recommended Action</t>
  </si>
  <si>
    <t xml:space="preserve">344223b2a90784...</t>
  </si>
  <si>
    <t xml:space="preserve">High</t>
  </si>
  <si>
    <t xml:space="preserve">Urgent margin review</t>
  </si>
  <si>
    <t xml:space="preserve">c1d1ebb4745cc4...</t>
  </si>
  <si>
    <t xml:space="preserve">20f0aeea30bc3b...</t>
  </si>
  <si>
    <t xml:space="preserve">20d53aad4fe5ee...</t>
  </si>
  <si>
    <t xml:space="preserve">9b1f656ca3060f...</t>
  </si>
  <si>
    <t xml:space="preserve">bcd2d7510d58e2...</t>
  </si>
  <si>
    <t xml:space="preserve">4e42581f08e8cf...</t>
  </si>
  <si>
    <t xml:space="preserve">3da38366e7bd9b...</t>
  </si>
  <si>
    <t xml:space="preserve">8629a7efec1aab...</t>
  </si>
  <si>
    <t xml:space="preserve">df683dfda87bf7...</t>
  </si>
  <si>
    <t xml:space="preserve">8d92f3ea807b89...</t>
  </si>
  <si>
    <t xml:space="preserve">bc8c8d665ec466...</t>
  </si>
  <si>
    <t xml:space="preserve">f5fea3ffed6c2e...</t>
  </si>
  <si>
    <t xml:space="preserve">9ef932e837d8b7...</t>
  </si>
  <si>
    <t xml:space="preserve">e5bd51692380fd...</t>
  </si>
  <si>
    <t xml:space="preserve">2a50b7ee5aebec...</t>
  </si>
  <si>
    <t xml:space="preserve">be1e9e378700ce...</t>
  </si>
  <si>
    <t xml:space="preserve">7c462184585ae8...</t>
  </si>
  <si>
    <t xml:space="preserve">efb628aa07c8ca...</t>
  </si>
  <si>
    <t xml:space="preserve">391bbd13b64522...</t>
  </si>
  <si>
    <t xml:space="preserve">d8d9567d0bfb0b...</t>
  </si>
  <si>
    <t xml:space="preserve">13d95f0f6f7394...</t>
  </si>
  <si>
    <t xml:space="preserve">ca5832c6960267...</t>
  </si>
  <si>
    <t xml:space="preserve">Quarterly business review</t>
  </si>
  <si>
    <t xml:space="preserve">154bdf805377af...</t>
  </si>
  <si>
    <t xml:space="preserve">ebe3dabc4955c9...</t>
  </si>
  <si>
    <t xml:space="preserve">586a871d4f1221...</t>
  </si>
  <si>
    <t xml:space="preserve">685b870da5b52a...</t>
  </si>
  <si>
    <t xml:space="preserve">1352e06ae67b41...</t>
  </si>
  <si>
    <t xml:space="preserve">9da15f4a4ea758...</t>
  </si>
  <si>
    <t xml:space="preserve">51a04a8a6bdcb2...</t>
  </si>
  <si>
    <t xml:space="preserve">1f2eebc0e970fd...</t>
  </si>
  <si>
    <t xml:space="preserve">781a66c0d89e30...</t>
  </si>
  <si>
    <t xml:space="preserve">d8dd176509baa3...</t>
  </si>
  <si>
    <t xml:space="preserve">da2782c804606d...</t>
  </si>
  <si>
    <t xml:space="preserve">c13ef0cfbe42f1...</t>
  </si>
  <si>
    <t xml:space="preserve">535bf14f36346c...</t>
  </si>
  <si>
    <t xml:space="preserve">9ac75591b69c34...</t>
  </si>
  <si>
    <t xml:space="preserve">9bf11dfc0bec77...</t>
  </si>
  <si>
    <t xml:space="preserve">d1aa1ec0839dca...</t>
  </si>
  <si>
    <t xml:space="preserve">271b8923c6a549...</t>
  </si>
  <si>
    <t xml:space="preserve">63704069d9bd3a...</t>
  </si>
  <si>
    <t xml:space="preserve">973f21788dfab3...</t>
  </si>
  <si>
    <t xml:space="preserve">8e670472e453ba...</t>
  </si>
  <si>
    <t xml:space="preserve">2a73cba571d90c...</t>
  </si>
  <si>
    <t xml:space="preserve">edf3fabebcc20f...</t>
  </si>
  <si>
    <t xml:space="preserve">9c57bc60cfad5e...</t>
  </si>
  <si>
    <t xml:space="preserve">984c273121e743...</t>
  </si>
  <si>
    <t xml:space="preserve">6524b847b982cd...</t>
  </si>
  <si>
    <t xml:space="preserve">d1a5cc84473695...</t>
  </si>
  <si>
    <t xml:space="preserve">791cfcfe22fe4a...</t>
  </si>
  <si>
    <t xml:space="preserve">04843805947f0f...</t>
  </si>
  <si>
    <t xml:space="preserve">f524ad65d7e0f1...</t>
  </si>
  <si>
    <t xml:space="preserve">c004e5ea157370...</t>
  </si>
  <si>
    <t xml:space="preserve">19484c79cef6c0...</t>
  </si>
  <si>
    <t xml:space="preserve">05ca864204d095...</t>
  </si>
  <si>
    <t xml:space="preserve">5ca5d579b5857e...</t>
  </si>
  <si>
    <t xml:space="preserve">80ceebb4ee9b31...</t>
  </si>
  <si>
    <t xml:space="preserve">c611f4ce9ce875...</t>
  </si>
  <si>
    <t xml:space="preserve">7c67e1448b00f6...</t>
  </si>
  <si>
    <t xml:space="preserve">1b4b28463457a2...</t>
  </si>
  <si>
    <t xml:space="preserve">c7b7db6c8f3c64...</t>
  </si>
  <si>
    <t xml:space="preserve">4e85b538b0dad5...</t>
  </si>
  <si>
    <t xml:space="preserve">fcf16b7a8697e5...</t>
  </si>
  <si>
    <t xml:space="preserve">538caafddff204...</t>
  </si>
  <si>
    <t xml:space="preserve">4a3ca9315b744c...</t>
  </si>
  <si>
    <t xml:space="preserve">ec2e006556300a...</t>
  </si>
  <si>
    <t xml:space="preserve">8c3b533c63cca5...</t>
  </si>
  <si>
    <t xml:space="preserve">3d62f86afa7c73...</t>
  </si>
  <si>
    <t xml:space="preserve">4869f7a5dfa277...</t>
  </si>
  <si>
    <t xml:space="preserve">ec8463980a4e0e...</t>
  </si>
  <si>
    <t xml:space="preserve">e4f121bf6ef8b9...</t>
  </si>
  <si>
    <t xml:space="preserve">05aebce0b5c8f0...</t>
  </si>
  <si>
    <t xml:space="preserve">324583d68897f5...</t>
  </si>
  <si>
    <t xml:space="preserve">12c2ed9cded613...</t>
  </si>
  <si>
    <t xml:space="preserve">bcc9dd23e2a8bd...</t>
  </si>
  <si>
    <t xml:space="preserve">26f6b7ab07be3e...</t>
  </si>
  <si>
    <t xml:space="preserve">70125af26c2d6d...</t>
  </si>
  <si>
    <t xml:space="preserve">83f2b4881141ce...</t>
  </si>
  <si>
    <t xml:space="preserve">1025f0e2d44d70...</t>
  </si>
  <si>
    <t xml:space="preserve">6219ba2359cfb9...</t>
  </si>
  <si>
    <t xml:space="preserve">e88165a185134e...</t>
  </si>
  <si>
    <t xml:space="preserve">b8d890108a7a80...</t>
  </si>
  <si>
    <t xml:space="preserve">5b97c06a046398...</t>
  </si>
  <si>
    <t xml:space="preserve">6f1a1263039c76...</t>
  </si>
  <si>
    <t xml:space="preserve">6ee85be3693ed7...</t>
  </si>
  <si>
    <t xml:space="preserve">a435b009cd956e...</t>
  </si>
  <si>
    <t xml:space="preserve">c990d6cf976a57...</t>
  </si>
  <si>
    <t xml:space="preserve">05e107217c7266...</t>
  </si>
  <si>
    <t xml:space="preserve">327b89b872c14d...</t>
  </si>
  <si>
    <t xml:space="preserve">0f94588695d716...</t>
  </si>
  <si>
    <t xml:space="preserve">da8622b14eb17a...</t>
  </si>
  <si>
    <t xml:space="preserve">a154d7316f158b...</t>
  </si>
  <si>
    <t xml:space="preserve">7d484ca289afaa...</t>
  </si>
  <si>
    <t xml:space="preserve">8e4f041ff58e78...</t>
  </si>
  <si>
    <t xml:space="preserve">44f091b5abab80...</t>
  </si>
  <si>
    <t xml:space="preserve">8e29d051f810eb...</t>
  </si>
  <si>
    <t xml:space="preserve">1f50f920176fa8...</t>
  </si>
  <si>
    <t xml:space="preserve">ec4608a1f76453...</t>
  </si>
  <si>
    <t xml:space="preserve">53243585a1d6dc...</t>
  </si>
  <si>
    <t xml:space="preserve">6d04126aba80df...</t>
  </si>
  <si>
    <t xml:space="preserve">7c4adcc13272c0...</t>
  </si>
  <si>
    <t xml:space="preserve">60da8bfa7eebe2...</t>
  </si>
  <si>
    <t xml:space="preserve">6cf476a4ca7449...</t>
  </si>
  <si>
    <t xml:space="preserve">0daf5180aa4435...</t>
  </si>
  <si>
    <t xml:space="preserve">253c025bab4388...</t>
  </si>
  <si>
    <t xml:space="preserve">95cca791657aab...</t>
  </si>
  <si>
    <t xml:space="preserve">17eea220a40cc0...</t>
  </si>
  <si>
    <t xml:space="preserve">08061dc0fc165e...</t>
  </si>
  <si>
    <t xml:space="preserve">312ba1d77e9c33...</t>
  </si>
  <si>
    <t xml:space="preserve">0dfbed20065e42...</t>
  </si>
  <si>
    <t xml:space="preserve">08cdbae123ff67...</t>
  </si>
  <si>
    <t xml:space="preserve">633ecdf879b94b...</t>
  </si>
  <si>
    <t xml:space="preserve">d5c530f4884a75...</t>
  </si>
  <si>
    <t xml:space="preserve">43753b27d77860...</t>
  </si>
  <si>
    <t xml:space="preserve">3a3e46d10f74d8...</t>
  </si>
  <si>
    <t xml:space="preserve">955fee9216a65b...</t>
  </si>
  <si>
    <t xml:space="preserve">8a207b6080964f...</t>
  </si>
  <si>
    <t xml:space="preserve">fa1c13f2614d7b...</t>
  </si>
  <si>
    <t xml:space="preserve">ce20a2ec1514c2...</t>
  </si>
  <si>
    <t xml:space="preserve">b64d51f0435e88...</t>
  </si>
  <si>
    <t xml:space="preserve">5acd070dd3fe44...</t>
  </si>
  <si>
    <t xml:space="preserve">3d700782d7818f...</t>
  </si>
  <si>
    <t xml:space="preserve">bb7ad8a45c027b...</t>
  </si>
  <si>
    <t xml:space="preserve">2bf28e311bba65...</t>
  </si>
  <si>
    <t xml:space="preserve">a61cc047933083...</t>
  </si>
  <si>
    <t xml:space="preserve">b0b346d3a89f5e...</t>
  </si>
  <si>
    <t xml:space="preserve">f9f68daa2af419...</t>
  </si>
  <si>
    <t xml:space="preserve">8bd0e3abda539b...</t>
  </si>
  <si>
    <t xml:space="preserve">741f8c587cb424...</t>
  </si>
  <si>
    <t xml:space="preserve">8b321bb669392f...</t>
  </si>
  <si>
    <t xml:space="preserve">72146da5774cab...</t>
  </si>
  <si>
    <t xml:space="preserve">2b5ed0c9139dae...</t>
  </si>
  <si>
    <t xml:space="preserve">427165bf50f8ca...</t>
  </si>
  <si>
    <t xml:space="preserve">6560211a19b479...</t>
  </si>
  <si>
    <t xml:space="preserve">b1b3948701c5c7...</t>
  </si>
  <si>
    <t xml:space="preserve">ab91571efab279...</t>
  </si>
  <si>
    <t xml:space="preserve">8a40ae794fa3f9...</t>
  </si>
  <si>
    <t xml:space="preserve">034b9387752bfa...</t>
  </si>
  <si>
    <t xml:space="preserve">179d859f51292a...</t>
  </si>
  <si>
    <t xml:space="preserve">a1043bafd471df...</t>
  </si>
  <si>
    <t xml:space="preserve">702835e4b785b6...</t>
  </si>
  <si>
    <t xml:space="preserve">70c0fda4c313d8...</t>
  </si>
  <si>
    <t xml:space="preserve">c18309219e7899...</t>
  </si>
  <si>
    <t xml:space="preserve">553a440137d6e0...</t>
  </si>
  <si>
    <t xml:space="preserve">92c8bc6e8f9257...</t>
  </si>
  <si>
    <t xml:space="preserve">b2f4d63c7203f5...</t>
  </si>
  <si>
    <t xml:space="preserve">f3295428338a40...</t>
  </si>
  <si>
    <t xml:space="preserve">d9e7e7778b3298...</t>
  </si>
  <si>
    <t xml:space="preserve">0725b8c0f3f906...</t>
  </si>
  <si>
    <t xml:space="preserve">6c9875b2f94ba7...</t>
  </si>
  <si>
    <t xml:space="preserve">7a67c85e85bb2c...</t>
  </si>
  <si>
    <t xml:space="preserve">002100f778ceb8...</t>
  </si>
  <si>
    <t xml:space="preserve">961dff0a659b45...</t>
  </si>
  <si>
    <t xml:space="preserve">83b08de9698075...</t>
  </si>
  <si>
    <t xml:space="preserve">adcf50477d6a1f...</t>
  </si>
  <si>
    <t xml:space="preserve">57c764b4a83630...</t>
  </si>
  <si>
    <t xml:space="preserve">038b75b729c8a9...</t>
  </si>
  <si>
    <t xml:space="preserve">50c9975695009e...</t>
  </si>
  <si>
    <t xml:space="preserve">77128dec4bec48...</t>
  </si>
  <si>
    <t xml:space="preserve">eebb3372362aa9...</t>
  </si>
  <si>
    <t xml:space="preserve">55c96925041a14...</t>
  </si>
  <si>
    <t xml:space="preserve">ad14615bdd492b...</t>
  </si>
  <si>
    <t xml:space="preserve">85ecf03781da59...</t>
  </si>
  <si>
    <t xml:space="preserve">e09887ca8c7bf8...</t>
  </si>
  <si>
    <t xml:space="preserve">0e44d110fa6a54...</t>
  </si>
  <si>
    <t xml:space="preserve">94b9108d4b637b...</t>
  </si>
  <si>
    <t xml:space="preserve">08d2d642cf72b6...</t>
  </si>
  <si>
    <t xml:space="preserve">cc419e0650a3c5...</t>
  </si>
  <si>
    <t xml:space="preserve">85cc55e048b6bc...</t>
  </si>
  <si>
    <t xml:space="preserve">fb503a924a0b9d...</t>
  </si>
  <si>
    <t xml:space="preserve">9996ae921c50e8...</t>
  </si>
  <si>
    <t xml:space="preserve">7b7ed56ae755e2...</t>
  </si>
  <si>
    <t xml:space="preserve">11bfa663327776...</t>
  </si>
  <si>
    <t xml:space="preserve">6861de0f40cacb...</t>
  </si>
  <si>
    <t xml:space="preserve">20cb7c2fde3e5b...</t>
  </si>
  <si>
    <t xml:space="preserve">9539213aa8e023...</t>
  </si>
  <si>
    <t xml:space="preserve">0417b067eeab77...</t>
  </si>
  <si>
    <t xml:space="preserve">ede0c03645598c...</t>
  </si>
  <si>
    <t xml:space="preserve">06a2c3af7b3aee...</t>
  </si>
  <si>
    <t xml:space="preserve">9dd459b29a14bf...</t>
  </si>
  <si>
    <t xml:space="preserve">89bc797e2e2966...</t>
  </si>
  <si>
    <t xml:space="preserve">128639473a139a...</t>
  </si>
  <si>
    <t xml:space="preserve">5275ca25d0358c...</t>
  </si>
  <si>
    <t xml:space="preserve">5659d77e8d9037...</t>
  </si>
  <si>
    <t xml:space="preserve">ad781527c93d00...</t>
  </si>
  <si>
    <t xml:space="preserve">c1f12f926d0ba9...</t>
  </si>
  <si>
    <t xml:space="preserve">2379bdc3888025...</t>
  </si>
  <si>
    <t xml:space="preserve">2c54051840f19e...</t>
  </si>
  <si>
    <t xml:space="preserve">077c5fae4bea95...</t>
  </si>
  <si>
    <t xml:space="preserve">8ccf3cf69651cc...</t>
  </si>
  <si>
    <t xml:space="preserve">29c322e3f09f88...</t>
  </si>
  <si>
    <t xml:space="preserve">6d988d6174a2c2...</t>
  </si>
  <si>
    <t xml:space="preserve">STRATEGIC RECOMMENDATIONS — Executive Action Plan</t>
  </si>
  <si>
    <t xml:space="preserve">Revenue Quality &amp; Margin Intelligence Model  |  Olist E-Commerce  |  Based on 96,470 Delivered Orders</t>
  </si>
  <si>
    <t xml:space="preserve">🌟  Q1 — SELLER PROFITABILITY: Who are the most profitable sellers?  |  Priority: HIGH</t>
  </si>
  <si>
    <t xml:space="preserve">📊 KEY FINDINGS:</t>
  </si>
  <si>
    <t xml:space="preserve">   • Top seller generates $68,385 in profit from $247,938 revenue.</t>
  </si>
  <si>
    <t xml:space="preserve">   • 863 sellers classified as STAR (High Revenue + High Margin) — protect these relationships.</t>
  </si>
  <si>
    <t xml:space="preserve">   • Average contribution margin across all sellers: 23.7% — sector median benchmark recommended.</t>
  </si>
  <si>
    <t xml:space="preserve">   • Top 10 sellers account for 12.9% of total revenue.</t>
  </si>
  <si>
    <t xml:space="preserve">⚡ RECOMMENDED ACTIONS:</t>
  </si>
  <si>
    <t xml:space="preserve">   → Build key account programs for all 863 STAR sellers — priority SLA, dedicated account managers.</t>
  </si>
  <si>
    <t xml:space="preserve">   → Establish quarterly business reviews with top 50 sellers by revenue.</t>
  </si>
  <si>
    <t xml:space="preserve">   → Benchmark contribution margins against industry standard (30%+) and set minimum threshold.</t>
  </si>
  <si>
    <t xml:space="preserve">⚠️  Q2 — MARGIN EROSION: Which sellers generate revenue but destroy margin?  |  Priority: CRITICAL</t>
  </si>
  <si>
    <t xml:space="preserve">   • 617 sellers flagged as HIGH REVENUE + LOW MARGIN (Risk segment).</t>
  </si>
  <si>
    <t xml:space="preserve">   • These sellers generate significant GMV but operate at unsustainable contribution margins.</t>
  </si>
  <si>
    <t xml:space="preserve">   • Root causes likely include: excessive discounting, high freight costs, low-price product mix.</t>
  </si>
  <si>
    <t xml:space="preserve">   • 22 sellers rated HIGH risk on composite Margin Risk Score.</t>
  </si>
  <si>
    <t xml:space="preserve">   → Initiate renegotiation with top 50 Risk-segment sellers within 60 days.</t>
  </si>
  <si>
    <t xml:space="preserve">   → Set minimum margin floor (e.g., 20% CM) — sellers below threshold must improve or exit platform.</t>
  </si>
  <si>
    <t xml:space="preserve">   → Audit pricing and freight structures of Risk sellers — identify cost reduction opportunities.</t>
  </si>
  <si>
    <t xml:space="preserve">   → Introduce performance-based commission tiers incentivizing higher-margin product mix.</t>
  </si>
  <si>
    <t xml:space="preserve">🚚  Q3 — OPERATIONAL RISK: Does delivery delay impact financial performance?  |  Priority: HIGH</t>
  </si>
  <si>
    <t xml:space="preserve">   • 8.1% of orders experienced delivery delays (above estimated date).</t>
  </si>
  <si>
    <t xml:space="preserve">   • Correlation between delay days and contribution margin: 0.035.</t>
  </si>
  <si>
    <t xml:space="preserve">   • High-delay regions show compounding effects: lower review scores → reduced repeat purchases.</t>
  </si>
  <si>
    <t xml:space="preserve">   • Estimated revenue at risk from delay-driven churn: 5%+ of delayed order value.</t>
  </si>
  <si>
    <t xml:space="preserve">   → Implement seller-level delivery SLA dashboards with automated alerts at 3+ day delays.</t>
  </si>
  <si>
    <t xml:space="preserve">   → Prioritize logistics infrastructure investment in top 5 highest-delay seller states.</t>
  </si>
  <si>
    <t xml:space="preserve">   → Introduce delay penalty framework: sellers with &gt;15% delay rate face listing restrictions.</t>
  </si>
  <si>
    <t xml:space="preserve">   → Negotiate carrier agreements to improve last-mile delivery in high-risk corridors.</t>
  </si>
  <si>
    <t xml:space="preserve">📊  Q4 — REVENUE STABILITY: Is revenue stable or fragile?  |  Priority: MEDIUM</t>
  </si>
  <si>
    <t xml:space="preserve">   • Revenue Coefficient of Variation: 0.59 — classified as Moderate.</t>
  </si>
  <si>
    <t xml:space="preserve">   • Top 10 sellers represent 12.9% of revenue — manageable concentration.</t>
  </si>
  <si>
    <t xml:space="preserve">   • Top 20 sellers control 21.1% of revenue — moderate dependency risk.</t>
  </si>
  <si>
    <t xml:space="preserve">   • Monthly revenue shows seasonal patterns; year-end peak visible in data.</t>
  </si>
  <si>
    <t xml:space="preserve">   → Diversify seller base — cap any single seller at &lt;5% total platform revenue.</t>
  </si>
  <si>
    <t xml:space="preserve">   → Launch seller acquisition program targeting high-margin product categories.</t>
  </si>
  <si>
    <t xml:space="preserve">   → Build demand forecasting model using historical trend data to prepare for seasonal peaks.</t>
  </si>
  <si>
    <t xml:space="preserve">   → Establish revenue reserve strategy for months of projected below-trend performance.</t>
  </si>
  <si>
    <t xml:space="preserve">🎯  Q5 — LEADERSHIP ACTIONS: What specific steps should leadership take?  |  Priority: CRITICAL</t>
  </si>
  <si>
    <t xml:space="preserve">   • Three-tier seller risk classification enables targeted, differentiated management.</t>
  </si>
  <si>
    <t xml:space="preserve">   • Renegotiation opportunity estimated at significant margin uplift if Risk sellers move to 25%+ CM.</t>
  </si>
  <si>
    <t xml:space="preserve">   • Operational improvements in delay management can reduce churn and improve LTV.</t>
  </si>
  <si>
    <t xml:space="preserve">   • Current revenue stability is moderate — proactive action needed before fragility increases.</t>
  </si>
  <si>
    <t xml:space="preserve">   → IMMEDIATE (30 days): Launch renegotiation with 50 highest-revenue Risk-segment sellers.</t>
  </si>
  <si>
    <t xml:space="preserve">   → SHORT-TERM (90 days): Deploy delivery SLA monitoring; enforce minimum margin policy.</t>
  </si>
  <si>
    <t xml:space="preserve">   → MEDIUM-TERM (6 months): Rebuild seller mix toward Star and Growth segments.</t>
  </si>
  <si>
    <t xml:space="preserve">   → LONG-TERM (12 months): Achieve 30%+ blended contribution margin and &lt;5% delay rate.</t>
  </si>
  <si>
    <t xml:space="preserve">   → GOVERNANCE: Establish monthly Revenue Quality Council review with this dashboard as standing agenda.</t>
  </si>
  <si>
    <t xml:space="preserve">SQL REFERENCE MODEL — All Phase Queries</t>
  </si>
  <si>
    <t xml:space="preserve">PHASE 1 — Master Orders Dataset</t>
  </si>
  <si>
    <t xml:space="preserve">-- PHASE 1: Master Orders (delivered only, nulls removed)</t>
  </si>
  <si>
    <t xml:space="preserve">CREATE VIEW master_orders AS</t>
  </si>
  <si>
    <t xml:space="preserve">SELECT</t>
  </si>
  <si>
    <t xml:space="preserve">    o.order_id, o.customer_id, o.order_purchase_timestamp,</t>
  </si>
  <si>
    <t xml:space="preserve">    o.order_delivered_customer_date, o.order_estimated_delivery_date,</t>
  </si>
  <si>
    <t xml:space="preserve">    oi.seller_id, oi.total_price, oi.total_freight, oi.item_count,</t>
  </si>
  <si>
    <t xml:space="preserve">    p.payment_value, p.payment_type, p.payment_installments,</t>
  </si>
  <si>
    <t xml:space="preserve">    c.customer_state, c.customer_city,</t>
  </si>
  <si>
    <t xml:space="preserve">    s.seller_state, s.seller_city,</t>
  </si>
  <si>
    <t xml:space="preserve">    r.review_score</t>
  </si>
  <si>
    <t xml:space="preserve">FROM orders o</t>
  </si>
  <si>
    <t xml:space="preserve">INNER JOIN (</t>
  </si>
  <si>
    <t xml:space="preserve">    SELECT order_id, SUM(price) AS total_price, SUM(freight_value) AS total_freight,</t>
  </si>
  <si>
    <t xml:space="preserve">           COUNT(*) AS item_count, MIN(seller_id) AS seller_id</t>
  </si>
  <si>
    <t xml:space="preserve">    FROM order_items GROUP BY order_id</t>
  </si>
  <si>
    <t xml:space="preserve">) oi ON o.order_id = oi.order_id</t>
  </si>
  <si>
    <t xml:space="preserve">LEFT JOIN (</t>
  </si>
  <si>
    <t xml:space="preserve">    SELECT order_id, SUM(payment_value) AS payment_value,</t>
  </si>
  <si>
    <t xml:space="preserve">           MAX(payment_installments) AS payment_installments,</t>
  </si>
  <si>
    <t xml:space="preserve">           MIN(payment_type) AS payment_type</t>
  </si>
  <si>
    <t xml:space="preserve">    FROM order_payments GROUP BY order_id</t>
  </si>
  <si>
    <t xml:space="preserve">) p ON o.order_id = p.order_id</t>
  </si>
  <si>
    <t xml:space="preserve">LEFT JOIN customers c ON o.customer_id = c.customer_id</t>
  </si>
  <si>
    <t xml:space="preserve">LEFT JOIN sellers s ON oi.seller_id = s.seller_id</t>
  </si>
  <si>
    <t xml:space="preserve">    SELECT order_id, AVG(review_score) AS review_score</t>
  </si>
  <si>
    <t xml:space="preserve">    FROM order_reviews GROUP BY order_id</t>
  </si>
  <si>
    <t xml:space="preserve">) r ON o.order_id = r.order_id</t>
  </si>
  <si>
    <t xml:space="preserve">WHERE o.order_status = 'delivered'</t>
  </si>
  <si>
    <t xml:space="preserve">  AND o.order_delivered_customer_date IS NOT NULL</t>
  </si>
  <si>
    <t xml:space="preserve">  AND o.order_estimated_delivery_date IS NOT NULL;</t>
  </si>
  <si>
    <t xml:space="preserve">PHASE 2 — Financial Metrics</t>
  </si>
  <si>
    <t xml:space="preserve">-- PHASE 2: Financial Modeling</t>
  </si>
  <si>
    <t xml:space="preserve">CREATE VIEW financial_metrics AS</t>
  </si>
  <si>
    <t xml:space="preserve">SELECT *,</t>
  </si>
  <si>
    <t xml:space="preserve">    COALESCE(payment_value, total_price + total_freight)  AS revenue,</t>
  </si>
  <si>
    <t xml:space="preserve">    total_price * 0.70                                     AS estimated_cost,</t>
  </si>
  <si>
    <t xml:space="preserve">    total_freight                                          AS freight_cost,</t>
  </si>
  <si>
    <t xml:space="preserve">    (total_price * 0.70) + total_freight                  AS total_cost,</t>
  </si>
  <si>
    <t xml:space="preserve">    COALESCE(payment_value, total_price + total_freight)</t>
  </si>
  <si>
    <t xml:space="preserve">        - ((total_price * 0.70) + total_freight)          AS profit,</t>
  </si>
  <si>
    <t xml:space="preserve">    CASE WHEN COALESCE(payment_value, total_price + total_freight) &gt; 0</t>
  </si>
  <si>
    <t xml:space="preserve">         THEN (COALESCE(payment_value, total_price + total_freight)</t>
  </si>
  <si>
    <t xml:space="preserve">               - ((total_price * 0.70) + total_freight))</t>
  </si>
  <si>
    <t xml:space="preserve">              / COALESCE(payment_value, total_price + total_freight) * 100</t>
  </si>
  <si>
    <t xml:space="preserve">         ELSE 0 END                                        AS contribution_margin_pct,</t>
  </si>
  <si>
    <t xml:space="preserve">    DATE_TRUNC('month', order_purchase_timestamp)        AS order_month,</t>
  </si>
  <si>
    <t xml:space="preserve">    order_delivered_customer_date - order_estimated_delivery_date AS delivery_delay</t>
  </si>
  <si>
    <t xml:space="preserve">FROM master_orders;</t>
  </si>
  <si>
    <t xml:space="preserve">PHASE 3 — Seller Segmentation</t>
  </si>
  <si>
    <t xml:space="preserve">-- PHASE 3: Seller Profitability Intelligence</t>
  </si>
  <si>
    <t xml:space="preserve">CREATE VIEW seller_profitability AS</t>
  </si>
  <si>
    <t xml:space="preserve">    seller_id, seller_state,</t>
  </si>
  <si>
    <t xml:space="preserve">    SUM(revenue)                    AS total_revenue,</t>
  </si>
  <si>
    <t xml:space="preserve">    SUM(total_cost)                 AS total_cost,</t>
  </si>
  <si>
    <t xml:space="preserve">    SUM(profit)                     AS total_profit,</t>
  </si>
  <si>
    <t xml:space="preserve">    AVG(contribution_margin_pct)    AS avg_cm_pct,</t>
  </si>
  <si>
    <t xml:space="preserve">    COUNT(*)                        AS order_count,</t>
  </si>
  <si>
    <t xml:space="preserve">    AVG(review_score)               AS avg_review_score,</t>
  </si>
  <si>
    <t xml:space="preserve">    RANK() OVER (ORDER BY SUM(revenue) DESC)               AS revenue_rank,</t>
  </si>
  <si>
    <t xml:space="preserve">    RANK() OVER (ORDER BY AVG(contribution_margin_pct) DESC) AS margin_rank,</t>
  </si>
  <si>
    <t xml:space="preserve">    CASE</t>
  </si>
  <si>
    <t xml:space="preserve">        WHEN SUM(revenue) &gt;= PERCENTILE_CONT(0.5) WITHIN GROUP (ORDER BY SUM(revenue)) OVER ()</t>
  </si>
  <si>
    <t xml:space="preserve">         AND AVG(contribution_margin_pct) &gt;= PERCENTILE_CONT(0.5) WITHIN GROUP (ORDER BY AVG(contribution_margin_pct)) OVER ()</t>
  </si>
  <si>
    <t xml:space="preserve">        THEN 'Star (High Rev, High Margin)'</t>
  </si>
  <si>
    <t xml:space="preserve">        THEN 'Risk (High Rev, Low Margin)'</t>
  </si>
  <si>
    <t xml:space="preserve">        WHEN AVG(contribution_margin_pct) &gt;= PERCENTILE_CONT(0.5) WITHIN GROUP (ORDER BY AVG(contribution_margin_pct)) OVER ()</t>
  </si>
  <si>
    <t xml:space="preserve">        THEN 'Growth (Low Rev, High Margin)'</t>
  </si>
  <si>
    <t xml:space="preserve">        ELSE 'Exit (Low Rev, Low Margin)'</t>
  </si>
  <si>
    <t xml:space="preserve">    END AS seller_segment</t>
  </si>
  <si>
    <t xml:space="preserve">FROM financial_metrics</t>
  </si>
  <si>
    <t xml:space="preserve">GROUP BY seller_id, seller_state;</t>
  </si>
  <si>
    <t xml:space="preserve">PHASE 4 — Operational Impact</t>
  </si>
  <si>
    <t xml:space="preserve">-- PHASE 4: Delivery Delay Analysis</t>
  </si>
  <si>
    <t xml:space="preserve">CREATE VIEW operational_impact AS</t>
  </si>
  <si>
    <t xml:space="preserve">    AVG(EXTRACT(EPOCH FROM delivery_delay)/86400) AS avg_delay_days,</t>
  </si>
  <si>
    <t xml:space="preserve">    SUM(CASE WHEN delivery_delay &gt; INTERVAL '0' THEN 1 ELSE 0 END)::FLOAT / COUNT(*) AS delay_frequency,</t>
  </si>
  <si>
    <t xml:space="preserve">    COUNT(*)                                       AS total_orders,</t>
  </si>
  <si>
    <t xml:space="preserve">    SUM(CASE WHEN delivery_delay &gt; INTERVAL '0' THEN 1 ELSE 0 END) AS delayed_orders,</t>
  </si>
  <si>
    <t xml:space="preserve">    AVG(revenue)                                   AS avg_revenue,</t>
  </si>
  <si>
    <t xml:space="preserve">    SUM(revenue)                                   AS total_revenue</t>
  </si>
  <si>
    <t xml:space="preserve">-- Delay by region</t>
  </si>
  <si>
    <t xml:space="preserve">CREATE VIEW regional_delay AS</t>
  </si>
  <si>
    <t xml:space="preserve">    seller_state,</t>
  </si>
  <si>
    <t xml:space="preserve">    SUM(CASE WHEN delivery_delay &gt; INTERVAL '0' THEN 1 ELSE 0 END)::FLOAT / COUNT(*) AS delay_rate,</t>
  </si>
  <si>
    <t xml:space="preserve">    COUNT(*) AS total_orders</t>
  </si>
  <si>
    <t xml:space="preserve">GROUP BY seller_state ORDER BY avg_delay_days DESC;</t>
  </si>
  <si>
    <t xml:space="preserve">PHASE 5 — Revenue Stability</t>
  </si>
  <si>
    <t xml:space="preserve">-- PHASE 5: Revenue Stability &amp; Concentration</t>
  </si>
  <si>
    <t xml:space="preserve">CREATE VIEW monthly_revenue AS</t>
  </si>
  <si>
    <t xml:space="preserve">    order_month,</t>
  </si>
  <si>
    <t xml:space="preserve">    SUM(revenue)  AS monthly_revenue,</t>
  </si>
  <si>
    <t xml:space="preserve">    COUNT(*)      AS order_count,</t>
  </si>
  <si>
    <t xml:space="preserve">    AVG(revenue)  AS avg_order_value</t>
  </si>
  <si>
    <t xml:space="preserve">GROUP BY order_month ORDER BY order_month;</t>
  </si>
  <si>
    <t xml:space="preserve">CREATE VIEW revenue_volatility AS</t>
  </si>
  <si>
    <t xml:space="preserve">    AVG(monthly_revenue)                         AS mean_revenue,</t>
  </si>
  <si>
    <t xml:space="preserve">    STDDEV(monthly_revenue)                      AS stddev_revenue,</t>
  </si>
  <si>
    <t xml:space="preserve">    STDDEV(monthly_revenue)/AVG(monthly_revenue) AS coefficient_of_variation,</t>
  </si>
  <si>
    <t xml:space="preserve">    CASE WHEN STDDEV(monthly_revenue)/AVG(monthly_revenue) &lt; 0.3 THEN 'Stable'</t>
  </si>
  <si>
    <t xml:space="preserve">         WHEN STDDEV(monthly_revenue)/AVG(monthly_revenue) &lt; 0.6 THEN 'Moderate'</t>
  </si>
  <si>
    <t xml:space="preserve">         ELSE 'Volatile' END AS stability_rating</t>
  </si>
  <si>
    <t xml:space="preserve">FROM monthly_revenue;</t>
  </si>
  <si>
    <t xml:space="preserve">-- Revenue concentration (top N sellers)</t>
  </si>
  <si>
    <t xml:space="preserve">WITH seller_rev AS (</t>
  </si>
  <si>
    <t xml:space="preserve">    SELECT seller_id, SUM(revenue) AS seller_revenue,</t>
  </si>
  <si>
    <t xml:space="preserve">           SUM(revenue) / SUM(SUM(revenue)) OVER () AS revenue_share</t>
  </si>
  <si>
    <t xml:space="preserve">    FROM financial_metrics GROUP BY seller_id</t>
  </si>
  <si>
    <t xml:space="preserve">)</t>
  </si>
  <si>
    <t xml:space="preserve">SELECT seller_id, seller_revenue, revenue_share,</t>
  </si>
  <si>
    <t xml:space="preserve">       SUM(revenue_share) OVER (ORDER BY seller_revenue DESC) AS cumulative_share</t>
  </si>
  <si>
    <t xml:space="preserve">FROM seller_rev ORDER BY seller_revenue DESC;</t>
  </si>
  <si>
    <t xml:space="preserve">PHASE 6 — Risk Scoring</t>
  </si>
  <si>
    <t xml:space="preserve">-- PHASE 6: Composite Margin Risk Score</t>
  </si>
  <si>
    <t xml:space="preserve">CREATE VIEW margin_risk_scores AS</t>
  </si>
  <si>
    <t xml:space="preserve">WITH normalized AS (</t>
  </si>
  <si>
    <t xml:space="preserve">    SELECT</t>
  </si>
  <si>
    <t xml:space="preserve">        s.seller_id, s.seller_state, s.seller_segment,</t>
  </si>
  <si>
    <t xml:space="preserve">        s.total_revenue, s.avg_cm_pct, s.order_count,</t>
  </si>
  <si>
    <t xml:space="preserve">        o.avg_delay_days, o.delay_frequency,</t>
  </si>
  <si>
    <t xml:space="preserve">        s.total_revenue / SUM(s.total_revenue) OVER () AS revenue_share,</t>
  </si>
  <si>
    <t xml:space="preserve">        -- Normalize 0-1 (inverted for margin: lower margin = higher risk)</t>
  </si>
  <si>
    <t xml:space="preserve">        1 - (s.avg_cm_pct - MIN(s.avg_cm_pct) OVER ())</t>
  </si>
  <si>
    <t xml:space="preserve">              / NULLIF(MAX(s.avg_cm_pct) OVER () - MIN(s.avg_cm_pct) OVER (), 0) AS risk_margin_norm,</t>
  </si>
  <si>
    <t xml:space="preserve">        (o.delay_frequency - MIN(o.delay_frequency) OVER ())</t>
  </si>
  <si>
    <t xml:space="preserve">              / NULLIF(MAX(o.delay_frequency) OVER () - MIN(o.delay_frequency) OVER (), 0) AS risk_delay_norm,</t>
  </si>
  <si>
    <t xml:space="preserve">        (s.total_revenue/SUM(s.total_revenue) OVER () - MIN(s.total_revenue/SUM(s.total_revenue) OVER ()) OVER ())</t>
  </si>
  <si>
    <t xml:space="preserve">              / NULLIF(MAX(s.total_revenue/SUM(s.total_revenue) OVER ()) OVER ()</t>
  </si>
  <si>
    <t xml:space="preserve">                       - MIN(s.total_revenue/SUM(s.total_revenue) OVER ()) OVER (), 0) AS risk_conc_norm</t>
  </si>
  <si>
    <t xml:space="preserve">    FROM seller_profitability s</t>
  </si>
  <si>
    <t xml:space="preserve">    LEFT JOIN operational_impact o USING (seller_id)</t>
  </si>
  <si>
    <t xml:space="preserve">    (0.40 * risk_margin_norm + 0.35 * risk_delay_norm + 0.25 * risk_conc_norm) * 100 AS margin_risk_score,</t>
  </si>
  <si>
    <t xml:space="preserve">        WHEN (0.40 * risk_margin_norm + 0.35 * risk_delay_norm + 0.25 * risk_conc_norm) * 100 &gt;= 70 THEN 'Critical'</t>
  </si>
  <si>
    <t xml:space="preserve">        WHEN (0.40 * risk_margin_norm + 0.35 * risk_delay_norm + 0.25 * risk_conc_norm) * 100 &gt;= 50 THEN 'High'</t>
  </si>
  <si>
    <t xml:space="preserve">        WHEN (0.40 * risk_margin_norm + 0.35 * risk_delay_norm + 0.25 * risk_conc_norm) * 100 &gt;= 30 THEN 'Medium'</t>
  </si>
  <si>
    <t xml:space="preserve">        ELSE 'Low'</t>
  </si>
  <si>
    <t xml:space="preserve">    END AS risk_category,</t>
  </si>
  <si>
    <t xml:space="preserve">    RANK() OVER (ORDER BY (0.40 * risk_margin_norm + 0.35 * risk_delay_norm + 0.25 * risk_conc_norm) DESC) AS risk_rank</t>
  </si>
  <si>
    <t xml:space="preserve">FROM normalized;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</si>
</sst>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"/>
    <numFmt numFmtId="166" formatCode="#,##0"/>
    <numFmt numFmtId="167" formatCode="\$#,##0.00"/>
    <numFmt numFmtId="168" formatCode="0.0%;\(0.0%\);\-"/>
    <numFmt numFmtId="169" formatCode="0.0%"/>
    <numFmt numFmtId="170" formatCode="0.0"/>
    <numFmt numFmtId="171" formatCode="0.0\x"/>
    <numFmt numFmtId="172" formatCode="\$#,##0;&quot;($&quot;#,##0\);\-"/>
    <numFmt numFmtId="173" formatCode="0.00"/>
    <numFmt numFmtId="174" formatCode="0.00%"/>
  </numFmts>
  <fonts count="3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sz val="10"/>
      <color rgb="FF495057"/>
      <name val="Arial"/>
      <family val="0"/>
      <charset val="1"/>
    </font>
    <font>
      <b val="true"/>
      <sz val="16"/>
      <color rgb="FF49505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495057"/>
      <name val="Arial"/>
      <family val="0"/>
      <charset val="1"/>
    </font>
    <font>
      <b val="true"/>
      <sz val="10"/>
      <color rgb="FF28A745"/>
      <name val="Arial"/>
      <family val="0"/>
      <charset val="1"/>
    </font>
    <font>
      <b val="true"/>
      <sz val="10"/>
      <color rgb="FFDC3545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9"/>
      <color rgb="FF28A745"/>
      <name val="Arial"/>
      <family val="0"/>
      <charset val="1"/>
    </font>
    <font>
      <b val="true"/>
      <sz val="9"/>
      <color rgb="FFDC3545"/>
      <name val="Arial"/>
      <family val="0"/>
      <charset val="1"/>
    </font>
    <font>
      <b val="true"/>
      <sz val="9"/>
      <color rgb="FF17A2B8"/>
      <name val="Arial"/>
      <family val="0"/>
      <charset val="1"/>
    </font>
    <font>
      <b val="true"/>
      <sz val="9"/>
      <color rgb="FFDEE2E6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7A2B8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C107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4"/>
      <color rgb="FFFFC107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9"/>
      <color rgb="FFFFC107"/>
      <name val="Arial"/>
      <family val="0"/>
      <charset val="1"/>
    </font>
    <font>
      <b val="true"/>
      <sz val="9"/>
      <color rgb="FFFD7E14"/>
      <name val="Arial"/>
      <family val="0"/>
      <charset val="1"/>
    </font>
    <font>
      <sz val="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color rgb="FF6A9955"/>
      <name val="Courier New"/>
      <family val="0"/>
      <charset val="1"/>
    </font>
    <font>
      <sz val="9"/>
      <color rgb="FF569CD6"/>
      <name val="Courier New"/>
      <family val="0"/>
      <charset val="1"/>
    </font>
    <font>
      <sz val="9"/>
      <color rgb="FFFFFFFF"/>
      <name val="Courier New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B3A5C"/>
        <bgColor rgb="FF2D2D2D"/>
      </patternFill>
    </fill>
    <fill>
      <patternFill patternType="solid">
        <fgColor rgb="FF2E6DA4"/>
        <bgColor rgb="FF3366FF"/>
      </patternFill>
    </fill>
    <fill>
      <patternFill patternType="solid">
        <fgColor rgb="FF28A745"/>
        <bgColor rgb="FF6A9955"/>
      </patternFill>
    </fill>
    <fill>
      <patternFill patternType="solid">
        <fgColor rgb="FFFD7E14"/>
        <bgColor rgb="FFFF9900"/>
      </patternFill>
    </fill>
    <fill>
      <patternFill patternType="solid">
        <fgColor rgb="FF17A2B8"/>
        <bgColor rgb="FF008080"/>
      </patternFill>
    </fill>
    <fill>
      <patternFill patternType="solid">
        <fgColor rgb="FFDEE2E6"/>
        <bgColor rgb="FFD6E4F0"/>
      </patternFill>
    </fill>
    <fill>
      <patternFill patternType="solid">
        <fgColor rgb="FFDC3545"/>
        <bgColor rgb="FFB71C1C"/>
      </patternFill>
    </fill>
    <fill>
      <patternFill patternType="solid">
        <fgColor rgb="FFF8F9FA"/>
        <bgColor rgb="FFFFFFFF"/>
      </patternFill>
    </fill>
    <fill>
      <patternFill patternType="solid">
        <fgColor rgb="FFFFFFFF"/>
        <bgColor rgb="FFF8F9FA"/>
      </patternFill>
    </fill>
    <fill>
      <patternFill patternType="solid">
        <fgColor rgb="FFD6E4F0"/>
        <bgColor rgb="FFDEE2E6"/>
      </patternFill>
    </fill>
    <fill>
      <patternFill patternType="solid">
        <fgColor rgb="FFB71C1C"/>
        <bgColor rgb="FFDC3545"/>
      </patternFill>
    </fill>
    <fill>
      <patternFill patternType="solid">
        <fgColor rgb="FF2D2D2D"/>
        <bgColor rgb="FF1E1E1E"/>
      </patternFill>
    </fill>
    <fill>
      <patternFill patternType="solid">
        <fgColor rgb="FF1E1E1E"/>
        <bgColor rgb="FF2D2D2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 diagonalUp="false" diagonalDown="false">
      <left style="thin">
        <color rgb="FFDEE2E6"/>
      </left>
      <right/>
      <top style="thin">
        <color rgb="FFDEE2E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2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2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2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2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2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1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1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1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1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1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1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32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33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33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3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32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33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33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3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31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31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11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1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7" fillId="1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8" fillId="1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7A2B8"/>
      <rgbColor rgb="FFC0C0C0"/>
      <rgbColor rgb="FF878787"/>
      <rgbColor rgb="FF569CD6"/>
      <rgbColor rgb="FFDC3545"/>
      <rgbColor rgb="FFF8F9FA"/>
      <rgbColor rgb="FFD6E4F0"/>
      <rgbColor rgb="FF660066"/>
      <rgbColor rgb="FFFF8080"/>
      <rgbColor rgb="FF2E6DA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2E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107"/>
      <rgbColor rgb="FFFF9900"/>
      <rgbColor rgb="FFFD7E14"/>
      <rgbColor rgb="FF495057"/>
      <rgbColor rgb="FF6A9955"/>
      <rgbColor rgb="FF1B3A5C"/>
      <rgbColor rgb="FF28A745"/>
      <rgbColor rgb="FF003300"/>
      <rgbColor rgb="FF1E1E1E"/>
      <rgbColor rgb="FFB71C1C"/>
      <rgbColor rgb="FF993366"/>
      <rgbColor rgb="FF333399"/>
      <rgbColor rgb="FF2D2D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'Executive Overview'!B11</c:f>
              <c:strCache>
                <c:ptCount val="1"/>
                <c:pt idx="0">
                  <c:v>Revenue ($)</c:v>
                </c:pt>
              </c:strCache>
            </c:strRef>
          </c:tx>
          <c:spPr>
            <a:solidFill>
              <a:srgbClr val="2e6da4"/>
            </a:solidFill>
            <a:ln w="24840">
              <a:solidFill>
                <a:srgbClr val="2e6da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Overview'!$A$12:$A$34</c:f>
              <c:strCache>
                <c:ptCount val="23"/>
                <c:pt idx="0">
                  <c:v>2016-09</c:v>
                </c:pt>
                <c:pt idx="1">
                  <c:v>2016-10</c:v>
                </c:pt>
                <c:pt idx="2">
                  <c:v>2016-12</c:v>
                </c:pt>
                <c:pt idx="3">
                  <c:v>2017-01</c:v>
                </c:pt>
                <c:pt idx="4">
                  <c:v>2017-02</c:v>
                </c:pt>
                <c:pt idx="5">
                  <c:v>2017-03</c:v>
                </c:pt>
                <c:pt idx="6">
                  <c:v>2017-04</c:v>
                </c:pt>
                <c:pt idx="7">
                  <c:v>2017-05</c:v>
                </c:pt>
                <c:pt idx="8">
                  <c:v>2017-06</c:v>
                </c:pt>
                <c:pt idx="9">
                  <c:v>2017-07</c:v>
                </c:pt>
                <c:pt idx="10">
                  <c:v>2017-08</c:v>
                </c:pt>
                <c:pt idx="11">
                  <c:v>2017-09</c:v>
                </c:pt>
                <c:pt idx="12">
                  <c:v>2017-10</c:v>
                </c:pt>
                <c:pt idx="13">
                  <c:v>2017-11</c:v>
                </c:pt>
                <c:pt idx="14">
                  <c:v>2017-12</c:v>
                </c:pt>
                <c:pt idx="15">
                  <c:v>2018-01</c:v>
                </c:pt>
                <c:pt idx="16">
                  <c:v>2018-02</c:v>
                </c:pt>
                <c:pt idx="17">
                  <c:v>2018-03</c:v>
                </c:pt>
                <c:pt idx="18">
                  <c:v>2018-04</c:v>
                </c:pt>
                <c:pt idx="19">
                  <c:v>2018-05</c:v>
                </c:pt>
                <c:pt idx="20">
                  <c:v>2018-06</c:v>
                </c:pt>
                <c:pt idx="21">
                  <c:v>2018-07</c:v>
                </c:pt>
                <c:pt idx="22">
                  <c:v>2018-08</c:v>
                </c:pt>
              </c:strCache>
            </c:strRef>
          </c:cat>
          <c:val>
            <c:numRef>
              <c:f>'Executive Overview'!$B$12:$B$34</c:f>
              <c:numCache>
                <c:formatCode>\$#,##0</c:formatCode>
                <c:ptCount val="23"/>
                <c:pt idx="0">
                  <c:v>143.46</c:v>
                </c:pt>
                <c:pt idx="1">
                  <c:v>46566.71</c:v>
                </c:pt>
                <c:pt idx="2">
                  <c:v>19.62</c:v>
                </c:pt>
                <c:pt idx="3">
                  <c:v>127545.67</c:v>
                </c:pt>
                <c:pt idx="4">
                  <c:v>271298.65</c:v>
                </c:pt>
                <c:pt idx="5">
                  <c:v>414369.39</c:v>
                </c:pt>
                <c:pt idx="6">
                  <c:v>390952.18</c:v>
                </c:pt>
                <c:pt idx="7">
                  <c:v>566872.73</c:v>
                </c:pt>
                <c:pt idx="8">
                  <c:v>490225.6</c:v>
                </c:pt>
                <c:pt idx="9">
                  <c:v>566403.93</c:v>
                </c:pt>
                <c:pt idx="10">
                  <c:v>646000.61</c:v>
                </c:pt>
                <c:pt idx="11">
                  <c:v>701169.99</c:v>
                </c:pt>
                <c:pt idx="12">
                  <c:v>751140.27</c:v>
                </c:pt>
                <c:pt idx="13">
                  <c:v>1153393.22</c:v>
                </c:pt>
                <c:pt idx="14">
                  <c:v>843199.17</c:v>
                </c:pt>
                <c:pt idx="15">
                  <c:v>1078606.86</c:v>
                </c:pt>
                <c:pt idx="16">
                  <c:v>966510.88</c:v>
                </c:pt>
                <c:pt idx="17">
                  <c:v>1120678</c:v>
                </c:pt>
                <c:pt idx="18">
                  <c:v>1132933.95</c:v>
                </c:pt>
                <c:pt idx="19">
                  <c:v>1128836.69</c:v>
                </c:pt>
                <c:pt idx="20">
                  <c:v>1011561.35</c:v>
                </c:pt>
                <c:pt idx="21">
                  <c:v>1027383.1</c:v>
                </c:pt>
                <c:pt idx="22">
                  <c:v>985414.28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8372051"/>
        <c:axId val="16570969"/>
      </c:lineChart>
      <c:catAx>
        <c:axId val="6837205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570969"/>
        <c:crosses val="autoZero"/>
        <c:auto val="1"/>
        <c:lblAlgn val="ctr"/>
        <c:lblOffset val="100"/>
        <c:noMultiLvlLbl val="0"/>
      </c:catAx>
      <c:valAx>
        <c:axId val="165709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37205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6</xdr:row>
      <xdr:rowOff>819000</xdr:rowOff>
    </xdr:from>
    <xdr:to>
      <xdr:col>27</xdr:col>
      <xdr:colOff>206280</xdr:colOff>
      <xdr:row>24</xdr:row>
      <xdr:rowOff>91080</xdr:rowOff>
    </xdr:to>
    <xdr:graphicFrame>
      <xdr:nvGraphicFramePr>
        <xdr:cNvPr id="0" name="Chart 1"/>
        <xdr:cNvGraphicFramePr/>
      </xdr:nvGraphicFramePr>
      <xdr:xfrm>
        <a:off x="8317080" y="280980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20"/>
    <col collapsed="false" customWidth="true" hidden="false" outlineLevel="0" max="7" min="7" style="0" width="18"/>
    <col collapsed="false" customWidth="true" hidden="false" outlineLevel="0" max="8" min="8" style="0" width="8"/>
    <col collapsed="false" customWidth="true" hidden="false" outlineLevel="0" max="16" min="9" style="0" width="2"/>
  </cols>
  <sheetData>
    <row r="1" customFormat="false" ht="4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21.75" hidden="false" customHeight="true" outlineLevel="0" collapsed="false">
      <c r="A4" s="3" t="s">
        <v>2</v>
      </c>
      <c r="B4" s="3"/>
      <c r="D4" s="4" t="s">
        <v>3</v>
      </c>
      <c r="E4" s="4"/>
      <c r="G4" s="5" t="s">
        <v>4</v>
      </c>
      <c r="H4" s="5"/>
      <c r="J4" s="6" t="s">
        <v>5</v>
      </c>
      <c r="K4" s="6"/>
      <c r="M4" s="7" t="s">
        <v>6</v>
      </c>
      <c r="N4" s="7"/>
    </row>
    <row r="5" customFormat="false" ht="36" hidden="false" customHeight="true" outlineLevel="0" collapsed="false">
      <c r="A5" s="8" t="s">
        <v>7</v>
      </c>
      <c r="B5" s="8"/>
      <c r="D5" s="9" t="s">
        <v>8</v>
      </c>
      <c r="E5" s="9"/>
      <c r="G5" s="10" t="s">
        <v>9</v>
      </c>
      <c r="H5" s="10"/>
      <c r="J5" s="11" t="s">
        <v>10</v>
      </c>
      <c r="K5" s="11"/>
      <c r="M5" s="12" t="s">
        <v>11</v>
      </c>
      <c r="N5" s="12"/>
    </row>
    <row r="7" customFormat="false" ht="68.65" hidden="false" customHeight="true" outlineLevel="0" collapsed="false">
      <c r="A7" s="13" t="s">
        <v>12</v>
      </c>
      <c r="B7" s="13"/>
      <c r="D7" s="13" t="s">
        <v>13</v>
      </c>
      <c r="E7" s="13"/>
      <c r="G7" s="14" t="s">
        <v>14</v>
      </c>
      <c r="H7" s="14"/>
      <c r="J7" s="6" t="s">
        <v>15</v>
      </c>
      <c r="K7" s="6"/>
      <c r="M7" s="3" t="s">
        <v>16</v>
      </c>
      <c r="N7" s="3"/>
    </row>
    <row r="8" customFormat="false" ht="52.95" hidden="false" customHeight="true" outlineLevel="0" collapsed="false">
      <c r="A8" s="15" t="s">
        <v>17</v>
      </c>
      <c r="B8" s="15"/>
      <c r="D8" s="15" t="s">
        <v>18</v>
      </c>
      <c r="E8" s="15"/>
      <c r="G8" s="16" t="s">
        <v>19</v>
      </c>
      <c r="H8" s="16"/>
      <c r="J8" s="11" t="s">
        <v>20</v>
      </c>
      <c r="K8" s="11"/>
      <c r="M8" s="8" t="s">
        <v>21</v>
      </c>
      <c r="N8" s="8"/>
    </row>
    <row r="10" customFormat="false" ht="19.5" hidden="false" customHeight="true" outlineLevel="0" collapsed="false">
      <c r="A10" s="17" t="s">
        <v>22</v>
      </c>
      <c r="B10" s="17"/>
      <c r="C10" s="17"/>
      <c r="D10" s="17"/>
      <c r="E10" s="17"/>
      <c r="F10" s="17"/>
      <c r="G10" s="17"/>
      <c r="H10" s="17"/>
    </row>
    <row r="11" customFormat="false" ht="26.85" hidden="false" customHeight="false" outlineLevel="0" collapsed="false">
      <c r="A11" s="18" t="s">
        <v>23</v>
      </c>
      <c r="B11" s="18" t="s">
        <v>24</v>
      </c>
      <c r="C11" s="18" t="s">
        <v>25</v>
      </c>
      <c r="D11" s="18" t="s">
        <v>26</v>
      </c>
      <c r="E11" s="18" t="s">
        <v>27</v>
      </c>
      <c r="F11" s="18" t="s">
        <v>28</v>
      </c>
      <c r="G11" s="18" t="s">
        <v>29</v>
      </c>
      <c r="H11" s="18" t="s">
        <v>30</v>
      </c>
    </row>
    <row r="12" customFormat="false" ht="16.5" hidden="false" customHeight="true" outlineLevel="0" collapsed="false">
      <c r="A12" s="19" t="s">
        <v>31</v>
      </c>
      <c r="B12" s="20" t="n">
        <v>143.46</v>
      </c>
      <c r="C12" s="21" t="n">
        <v>1</v>
      </c>
      <c r="D12" s="22" t="n">
        <f aca="false">B12/C12</f>
        <v>143.46</v>
      </c>
      <c r="E12" s="23" t="s">
        <v>32</v>
      </c>
      <c r="F12" s="20" t="n">
        <v>143.46</v>
      </c>
      <c r="G12" s="20" t="n">
        <f aca="false">B12*12</f>
        <v>1721.52</v>
      </c>
      <c r="H12" s="24" t="s">
        <v>33</v>
      </c>
    </row>
    <row r="13" customFormat="false" ht="16.5" hidden="false" customHeight="true" outlineLevel="0" collapsed="false">
      <c r="A13" s="25" t="s">
        <v>34</v>
      </c>
      <c r="B13" s="26" t="n">
        <v>46566.71</v>
      </c>
      <c r="C13" s="27" t="n">
        <v>265</v>
      </c>
      <c r="D13" s="28" t="n">
        <f aca="false">B13/C13</f>
        <v>175.723433962264</v>
      </c>
      <c r="E13" s="29" t="n">
        <f aca="false">(B13-B12)/B12</f>
        <v>323.597169942841</v>
      </c>
      <c r="F13" s="26" t="n">
        <v>46710.17</v>
      </c>
      <c r="G13" s="26" t="n">
        <f aca="false">B13*12</f>
        <v>558800.52</v>
      </c>
      <c r="H13" s="30" t="s">
        <v>35</v>
      </c>
    </row>
    <row r="14" customFormat="false" ht="16.5" hidden="false" customHeight="true" outlineLevel="0" collapsed="false">
      <c r="A14" s="19" t="s">
        <v>36</v>
      </c>
      <c r="B14" s="20" t="n">
        <v>19.62</v>
      </c>
      <c r="C14" s="21" t="n">
        <v>1</v>
      </c>
      <c r="D14" s="22" t="n">
        <f aca="false">B14/C14</f>
        <v>19.62</v>
      </c>
      <c r="E14" s="31" t="n">
        <f aca="false">(B14-B13)/B13</f>
        <v>-0.999578668967595</v>
      </c>
      <c r="F14" s="20" t="n">
        <v>46729.79</v>
      </c>
      <c r="G14" s="20" t="n">
        <f aca="false">B14*12</f>
        <v>235.44</v>
      </c>
      <c r="H14" s="32" t="s">
        <v>37</v>
      </c>
    </row>
    <row r="15" customFormat="false" ht="16.5" hidden="false" customHeight="true" outlineLevel="0" collapsed="false">
      <c r="A15" s="25" t="s">
        <v>38</v>
      </c>
      <c r="B15" s="26" t="n">
        <v>127545.67</v>
      </c>
      <c r="C15" s="27" t="n">
        <v>750</v>
      </c>
      <c r="D15" s="28" t="n">
        <f aca="false">B15/C15</f>
        <v>170.060893333333</v>
      </c>
      <c r="E15" s="29" t="n">
        <f aca="false">(B15-B14)/B14</f>
        <v>6499.79867482161</v>
      </c>
      <c r="F15" s="26" t="n">
        <v>174275.46</v>
      </c>
      <c r="G15" s="26" t="n">
        <f aca="false">B15*12</f>
        <v>1530548.04</v>
      </c>
      <c r="H15" s="30" t="s">
        <v>35</v>
      </c>
    </row>
    <row r="16" customFormat="false" ht="16.5" hidden="false" customHeight="true" outlineLevel="0" collapsed="false">
      <c r="A16" s="19" t="s">
        <v>39</v>
      </c>
      <c r="B16" s="20" t="n">
        <v>271298.65</v>
      </c>
      <c r="C16" s="21" t="n">
        <v>1653</v>
      </c>
      <c r="D16" s="22" t="n">
        <f aca="false">B16/C16</f>
        <v>164.125015124017</v>
      </c>
      <c r="E16" s="31" t="n">
        <f aca="false">(B16-B15)/B15</f>
        <v>1.12707064065758</v>
      </c>
      <c r="F16" s="20" t="n">
        <v>445574.11</v>
      </c>
      <c r="G16" s="20" t="n">
        <f aca="false">B16*12</f>
        <v>3255583.8</v>
      </c>
      <c r="H16" s="33" t="s">
        <v>35</v>
      </c>
    </row>
    <row r="17" customFormat="false" ht="16.5" hidden="false" customHeight="true" outlineLevel="0" collapsed="false">
      <c r="A17" s="25" t="s">
        <v>40</v>
      </c>
      <c r="B17" s="26" t="n">
        <v>414369.39</v>
      </c>
      <c r="C17" s="27" t="n">
        <v>2546</v>
      </c>
      <c r="D17" s="28" t="n">
        <f aca="false">B17/C17</f>
        <v>162.75309897879</v>
      </c>
      <c r="E17" s="29" t="n">
        <f aca="false">(B17-B16)/B16</f>
        <v>0.527355149021199</v>
      </c>
      <c r="F17" s="26" t="n">
        <v>859943.5</v>
      </c>
      <c r="G17" s="26" t="n">
        <f aca="false">B17*12</f>
        <v>4972432.68</v>
      </c>
      <c r="H17" s="30" t="s">
        <v>35</v>
      </c>
    </row>
    <row r="18" customFormat="false" ht="16.5" hidden="false" customHeight="true" outlineLevel="0" collapsed="false">
      <c r="A18" s="19" t="s">
        <v>41</v>
      </c>
      <c r="B18" s="20" t="n">
        <v>390952.18</v>
      </c>
      <c r="C18" s="21" t="n">
        <v>2303</v>
      </c>
      <c r="D18" s="22" t="n">
        <f aca="false">B18/C18</f>
        <v>169.757785497178</v>
      </c>
      <c r="E18" s="31" t="n">
        <f aca="false">(B18-B17)/B17</f>
        <v>-0.0565128857611804</v>
      </c>
      <c r="F18" s="20" t="n">
        <v>1250895.68</v>
      </c>
      <c r="G18" s="20" t="n">
        <f aca="false">B18*12</f>
        <v>4691426.16</v>
      </c>
      <c r="H18" s="32" t="s">
        <v>37</v>
      </c>
    </row>
    <row r="19" customFormat="false" ht="16.5" hidden="false" customHeight="true" outlineLevel="0" collapsed="false">
      <c r="A19" s="25" t="s">
        <v>42</v>
      </c>
      <c r="B19" s="26" t="n">
        <v>566872.73</v>
      </c>
      <c r="C19" s="27" t="n">
        <v>3545</v>
      </c>
      <c r="D19" s="28" t="n">
        <f aca="false">B19/C19</f>
        <v>159.907681241185</v>
      </c>
      <c r="E19" s="29" t="n">
        <f aca="false">(B19-B18)/B18</f>
        <v>0.449979713631473</v>
      </c>
      <c r="F19" s="26" t="n">
        <v>1817768.41</v>
      </c>
      <c r="G19" s="26" t="n">
        <f aca="false">B19*12</f>
        <v>6802472.76</v>
      </c>
      <c r="H19" s="30" t="s">
        <v>35</v>
      </c>
    </row>
    <row r="20" customFormat="false" ht="16.5" hidden="false" customHeight="true" outlineLevel="0" collapsed="false">
      <c r="A20" s="19" t="s">
        <v>43</v>
      </c>
      <c r="B20" s="20" t="n">
        <v>490225.6</v>
      </c>
      <c r="C20" s="21" t="n">
        <v>3135</v>
      </c>
      <c r="D20" s="22" t="n">
        <f aca="false">B20/C20</f>
        <v>156.371802232855</v>
      </c>
      <c r="E20" s="31" t="n">
        <f aca="false">(B20-B19)/B19</f>
        <v>-0.135210473080968</v>
      </c>
      <c r="F20" s="20" t="n">
        <v>2307994.01</v>
      </c>
      <c r="G20" s="20" t="n">
        <f aca="false">B20*12</f>
        <v>5882707.2</v>
      </c>
      <c r="H20" s="32" t="s">
        <v>37</v>
      </c>
    </row>
    <row r="21" customFormat="false" ht="16.5" hidden="false" customHeight="true" outlineLevel="0" collapsed="false">
      <c r="A21" s="25" t="s">
        <v>44</v>
      </c>
      <c r="B21" s="26" t="n">
        <v>566403.93</v>
      </c>
      <c r="C21" s="27" t="n">
        <v>3872</v>
      </c>
      <c r="D21" s="28" t="n">
        <f aca="false">B21/C21</f>
        <v>146.282006714876</v>
      </c>
      <c r="E21" s="29" t="n">
        <f aca="false">(B21-B20)/B20</f>
        <v>0.155394434725563</v>
      </c>
      <c r="F21" s="26" t="n">
        <v>2874397.94</v>
      </c>
      <c r="G21" s="26" t="n">
        <f aca="false">B21*12</f>
        <v>6796847.16</v>
      </c>
      <c r="H21" s="30" t="s">
        <v>35</v>
      </c>
    </row>
    <row r="22" customFormat="false" ht="16.5" hidden="false" customHeight="true" outlineLevel="0" collapsed="false">
      <c r="A22" s="19" t="s">
        <v>45</v>
      </c>
      <c r="B22" s="20" t="n">
        <v>646000.61</v>
      </c>
      <c r="C22" s="21" t="n">
        <v>4193</v>
      </c>
      <c r="D22" s="22" t="n">
        <f aca="false">B22/C22</f>
        <v>154.066446458383</v>
      </c>
      <c r="E22" s="31" t="n">
        <f aca="false">(B22-B21)/B21</f>
        <v>0.140529886506967</v>
      </c>
      <c r="F22" s="20" t="n">
        <v>3520398.55</v>
      </c>
      <c r="G22" s="20" t="n">
        <f aca="false">B22*12</f>
        <v>7752007.32</v>
      </c>
      <c r="H22" s="33" t="s">
        <v>35</v>
      </c>
    </row>
    <row r="23" customFormat="false" ht="16.5" hidden="false" customHeight="true" outlineLevel="0" collapsed="false">
      <c r="A23" s="25" t="s">
        <v>46</v>
      </c>
      <c r="B23" s="26" t="n">
        <v>701169.99</v>
      </c>
      <c r="C23" s="27" t="n">
        <v>4150</v>
      </c>
      <c r="D23" s="28" t="n">
        <f aca="false">B23/C23</f>
        <v>168.956624096386</v>
      </c>
      <c r="E23" s="29" t="n">
        <f aca="false">(B23-B22)/B22</f>
        <v>0.0854014363856406</v>
      </c>
      <c r="F23" s="26" t="n">
        <v>4221568.54</v>
      </c>
      <c r="G23" s="26" t="n">
        <f aca="false">B23*12</f>
        <v>8414039.88</v>
      </c>
      <c r="H23" s="30" t="s">
        <v>35</v>
      </c>
    </row>
    <row r="24" customFormat="false" ht="16.5" hidden="false" customHeight="true" outlineLevel="0" collapsed="false">
      <c r="A24" s="19" t="s">
        <v>47</v>
      </c>
      <c r="B24" s="20" t="n">
        <v>751140.27</v>
      </c>
      <c r="C24" s="21" t="n">
        <v>4478</v>
      </c>
      <c r="D24" s="22" t="n">
        <f aca="false">B24/C24</f>
        <v>167.740122822689</v>
      </c>
      <c r="E24" s="31" t="n">
        <f aca="false">(B24-B23)/B23</f>
        <v>0.0712669976078127</v>
      </c>
      <c r="F24" s="20" t="n">
        <v>4972708.81</v>
      </c>
      <c r="G24" s="20" t="n">
        <f aca="false">B24*12</f>
        <v>9013683.24</v>
      </c>
      <c r="H24" s="33" t="s">
        <v>35</v>
      </c>
    </row>
    <row r="25" customFormat="false" ht="16.5" hidden="false" customHeight="true" outlineLevel="0" collapsed="false">
      <c r="A25" s="25" t="s">
        <v>48</v>
      </c>
      <c r="B25" s="26" t="n">
        <v>1153393.22</v>
      </c>
      <c r="C25" s="27" t="n">
        <v>7288</v>
      </c>
      <c r="D25" s="28" t="n">
        <f aca="false">B25/C25</f>
        <v>158.2592233809</v>
      </c>
      <c r="E25" s="29" t="n">
        <f aca="false">(B25-B24)/B24</f>
        <v>0.535523078798584</v>
      </c>
      <c r="F25" s="26" t="n">
        <v>6126102.03</v>
      </c>
      <c r="G25" s="26" t="n">
        <f aca="false">B25*12</f>
        <v>13840718.64</v>
      </c>
      <c r="H25" s="30" t="s">
        <v>35</v>
      </c>
    </row>
    <row r="26" customFormat="false" ht="16.5" hidden="false" customHeight="true" outlineLevel="0" collapsed="false">
      <c r="A26" s="19" t="s">
        <v>49</v>
      </c>
      <c r="B26" s="20" t="n">
        <v>843199.17</v>
      </c>
      <c r="C26" s="21" t="n">
        <v>5513</v>
      </c>
      <c r="D26" s="22" t="n">
        <f aca="false">B26/C26</f>
        <v>152.947427897696</v>
      </c>
      <c r="E26" s="31" t="n">
        <f aca="false">(B26-B25)/B25</f>
        <v>-0.268940413920588</v>
      </c>
      <c r="F26" s="20" t="n">
        <v>6969301.2</v>
      </c>
      <c r="G26" s="20" t="n">
        <f aca="false">B26*12</f>
        <v>10118390.04</v>
      </c>
      <c r="H26" s="32" t="s">
        <v>37</v>
      </c>
    </row>
    <row r="27" customFormat="false" ht="16.5" hidden="false" customHeight="true" outlineLevel="0" collapsed="false">
      <c r="A27" s="25" t="s">
        <v>50</v>
      </c>
      <c r="B27" s="26" t="n">
        <v>1078606.86</v>
      </c>
      <c r="C27" s="27" t="n">
        <v>7069</v>
      </c>
      <c r="D27" s="28" t="n">
        <f aca="false">B27/C27</f>
        <v>152.582665157731</v>
      </c>
      <c r="E27" s="29" t="n">
        <f aca="false">(B27-B26)/B26</f>
        <v>0.279183967887445</v>
      </c>
      <c r="F27" s="26" t="n">
        <v>8047908.06</v>
      </c>
      <c r="G27" s="26" t="n">
        <f aca="false">B27*12</f>
        <v>12943282.32</v>
      </c>
      <c r="H27" s="30" t="s">
        <v>35</v>
      </c>
    </row>
    <row r="28" customFormat="false" ht="16.5" hidden="false" customHeight="true" outlineLevel="0" collapsed="false">
      <c r="A28" s="19" t="s">
        <v>51</v>
      </c>
      <c r="B28" s="20" t="n">
        <v>966510.88</v>
      </c>
      <c r="C28" s="21" t="n">
        <v>6555</v>
      </c>
      <c r="D28" s="22" t="n">
        <f aca="false">B28/C28</f>
        <v>147.446358504958</v>
      </c>
      <c r="E28" s="31" t="n">
        <f aca="false">(B28-B27)/B27</f>
        <v>-0.103926633657791</v>
      </c>
      <c r="F28" s="20" t="n">
        <v>9014418.94</v>
      </c>
      <c r="G28" s="20" t="n">
        <f aca="false">B28*12</f>
        <v>11598130.56</v>
      </c>
      <c r="H28" s="32" t="s">
        <v>37</v>
      </c>
    </row>
    <row r="29" customFormat="false" ht="16.5" hidden="false" customHeight="true" outlineLevel="0" collapsed="false">
      <c r="A29" s="25" t="s">
        <v>52</v>
      </c>
      <c r="B29" s="26" t="n">
        <v>1120678</v>
      </c>
      <c r="C29" s="27" t="n">
        <v>7003</v>
      </c>
      <c r="D29" s="28" t="n">
        <f aca="false">B29/C29</f>
        <v>160.02827359703</v>
      </c>
      <c r="E29" s="29" t="n">
        <f aca="false">(B29-B28)/B28</f>
        <v>0.15950893382597</v>
      </c>
      <c r="F29" s="26" t="n">
        <v>10135096.94</v>
      </c>
      <c r="G29" s="26" t="n">
        <f aca="false">B29*12</f>
        <v>13448136</v>
      </c>
      <c r="H29" s="30" t="s">
        <v>35</v>
      </c>
    </row>
    <row r="30" customFormat="false" ht="16.5" hidden="false" customHeight="true" outlineLevel="0" collapsed="false">
      <c r="A30" s="19" t="s">
        <v>53</v>
      </c>
      <c r="B30" s="20" t="n">
        <v>1132933.95</v>
      </c>
      <c r="C30" s="21" t="n">
        <v>6798</v>
      </c>
      <c r="D30" s="22" t="n">
        <f aca="false">B30/C30</f>
        <v>166.656950573698</v>
      </c>
      <c r="E30" s="31" t="n">
        <f aca="false">(B30-B29)/B29</f>
        <v>0.0109361921979373</v>
      </c>
      <c r="F30" s="20" t="n">
        <v>11268030.89</v>
      </c>
      <c r="G30" s="20" t="n">
        <f aca="false">B30*12</f>
        <v>13595207.4</v>
      </c>
      <c r="H30" s="33" t="s">
        <v>35</v>
      </c>
    </row>
    <row r="31" customFormat="false" ht="16.5" hidden="false" customHeight="true" outlineLevel="0" collapsed="false">
      <c r="A31" s="25" t="s">
        <v>54</v>
      </c>
      <c r="B31" s="26" t="n">
        <v>1128836.69</v>
      </c>
      <c r="C31" s="27" t="n">
        <v>6749</v>
      </c>
      <c r="D31" s="28" t="n">
        <f aca="false">B31/C31</f>
        <v>167.259844421396</v>
      </c>
      <c r="E31" s="29" t="n">
        <f aca="false">(B31-B30)/B30</f>
        <v>-0.00361650385708718</v>
      </c>
      <c r="F31" s="26" t="n">
        <v>12396867.58</v>
      </c>
      <c r="G31" s="26" t="n">
        <f aca="false">B31*12</f>
        <v>13546040.28</v>
      </c>
      <c r="H31" s="34" t="s">
        <v>37</v>
      </c>
    </row>
    <row r="32" customFormat="false" ht="16.5" hidden="false" customHeight="true" outlineLevel="0" collapsed="false">
      <c r="A32" s="19" t="s">
        <v>55</v>
      </c>
      <c r="B32" s="20" t="n">
        <v>1011561.35</v>
      </c>
      <c r="C32" s="21" t="n">
        <v>6096</v>
      </c>
      <c r="D32" s="22" t="n">
        <f aca="false">B32/C32</f>
        <v>165.938541666667</v>
      </c>
      <c r="E32" s="31" t="n">
        <f aca="false">(B32-B31)/B31</f>
        <v>-0.103890439634807</v>
      </c>
      <c r="F32" s="20" t="n">
        <v>13408428.93</v>
      </c>
      <c r="G32" s="20" t="n">
        <f aca="false">B32*12</f>
        <v>12138736.2</v>
      </c>
      <c r="H32" s="32" t="s">
        <v>37</v>
      </c>
    </row>
    <row r="33" customFormat="false" ht="16.5" hidden="false" customHeight="true" outlineLevel="0" collapsed="false">
      <c r="A33" s="25" t="s">
        <v>56</v>
      </c>
      <c r="B33" s="26" t="n">
        <v>1027383.1</v>
      </c>
      <c r="C33" s="27" t="n">
        <v>6156</v>
      </c>
      <c r="D33" s="28" t="n">
        <f aca="false">B33/C33</f>
        <v>166.891341780377</v>
      </c>
      <c r="E33" s="29" t="n">
        <f aca="false">(B33-B32)/B32</f>
        <v>0.0156409198512774</v>
      </c>
      <c r="F33" s="26" t="n">
        <v>14435812.03</v>
      </c>
      <c r="G33" s="26" t="n">
        <f aca="false">B33*12</f>
        <v>12328597.2</v>
      </c>
      <c r="H33" s="30" t="s">
        <v>35</v>
      </c>
    </row>
    <row r="34" customFormat="false" ht="16.5" hidden="false" customHeight="true" outlineLevel="0" collapsed="false">
      <c r="A34" s="19" t="s">
        <v>57</v>
      </c>
      <c r="B34" s="20" t="n">
        <v>985414.28</v>
      </c>
      <c r="C34" s="21" t="n">
        <v>6351</v>
      </c>
      <c r="D34" s="22" t="n">
        <f aca="false">B34/C34</f>
        <v>155.158916706031</v>
      </c>
      <c r="E34" s="31" t="n">
        <f aca="false">(B34-B33)/B33</f>
        <v>-0.0408502144915562</v>
      </c>
      <c r="F34" s="20" t="n">
        <v>15421226.31</v>
      </c>
      <c r="G34" s="20" t="n">
        <f aca="false">B34*12</f>
        <v>11824971.36</v>
      </c>
      <c r="H34" s="32" t="s">
        <v>37</v>
      </c>
    </row>
    <row r="35" customFormat="false" ht="15" hidden="false" customHeight="false" outlineLevel="0" collapsed="false">
      <c r="A35" s="35" t="s">
        <v>58</v>
      </c>
      <c r="B35" s="36" t="n">
        <f aca="false">SUM(B12:B34)</f>
        <v>15421226.31</v>
      </c>
      <c r="C35" s="37" t="n">
        <f aca="false">SUM(C12:C34)</f>
        <v>96470</v>
      </c>
      <c r="D35" s="38" t="n">
        <f aca="false">B35/C35</f>
        <v>159.855149891158</v>
      </c>
      <c r="E35" s="35"/>
      <c r="F35" s="35"/>
      <c r="G35" s="35"/>
      <c r="H35" s="35"/>
    </row>
  </sheetData>
  <mergeCells count="23">
    <mergeCell ref="A1:P1"/>
    <mergeCell ref="A2:P2"/>
    <mergeCell ref="A4:B4"/>
    <mergeCell ref="D4:E4"/>
    <mergeCell ref="G4:H4"/>
    <mergeCell ref="J4:K4"/>
    <mergeCell ref="M4:N4"/>
    <mergeCell ref="A5:B5"/>
    <mergeCell ref="D5:E5"/>
    <mergeCell ref="G5:H5"/>
    <mergeCell ref="J5:K5"/>
    <mergeCell ref="M5:N5"/>
    <mergeCell ref="A7:B7"/>
    <mergeCell ref="D7:E7"/>
    <mergeCell ref="G7:H7"/>
    <mergeCell ref="J7:K7"/>
    <mergeCell ref="M7:N7"/>
    <mergeCell ref="A8:B8"/>
    <mergeCell ref="D8:E8"/>
    <mergeCell ref="G8:H8"/>
    <mergeCell ref="J8:K8"/>
    <mergeCell ref="M8:N8"/>
    <mergeCell ref="A10:H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7"/>
    <col collapsed="false" customWidth="true" hidden="false" outlineLevel="0" max="5" min="4" style="0" width="14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9" min="8" style="0" width="10"/>
    <col collapsed="false" customWidth="true" hidden="false" outlineLevel="0" max="10" min="10" style="0" width="12"/>
    <col collapsed="false" customWidth="true" hidden="false" outlineLevel="0" max="11" min="11" style="0" width="24"/>
    <col collapsed="false" customWidth="true" hidden="false" outlineLevel="0" max="12" min="12" style="0" width="10"/>
    <col collapsed="false" customWidth="true" hidden="false" outlineLevel="0" max="13" min="13" style="0" width="11"/>
    <col collapsed="false" customWidth="true" hidden="false" outlineLevel="0" max="14" min="14" style="0" width="12"/>
  </cols>
  <sheetData>
    <row r="1" customFormat="false" ht="39.75" hidden="false" customHeight="true" outlineLevel="0" collapsed="false">
      <c r="A1" s="8" t="s">
        <v>59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customFormat="false" ht="18" hidden="false" customHeight="true" outlineLevel="0" collapsed="false">
      <c r="B2" s="39" t="s">
        <v>60</v>
      </c>
      <c r="E2" s="40" t="s">
        <v>61</v>
      </c>
      <c r="H2" s="41" t="s">
        <v>62</v>
      </c>
      <c r="K2" s="42" t="s">
        <v>63</v>
      </c>
    </row>
    <row r="4" customFormat="false" ht="15" hidden="false" customHeight="false" outlineLevel="0" collapsed="false">
      <c r="A4" s="17" t="s">
        <v>64</v>
      </c>
      <c r="B4" s="17"/>
      <c r="C4" s="17"/>
      <c r="D4" s="17"/>
    </row>
    <row r="5" customFormat="false" ht="39.55" hidden="false" customHeight="false" outlineLevel="0" collapsed="false">
      <c r="A5" s="18" t="s">
        <v>65</v>
      </c>
      <c r="B5" s="18" t="s">
        <v>66</v>
      </c>
      <c r="C5" s="18" t="s">
        <v>67</v>
      </c>
      <c r="D5" s="18" t="s">
        <v>68</v>
      </c>
    </row>
    <row r="6" customFormat="false" ht="15" hidden="false" customHeight="false" outlineLevel="0" collapsed="false">
      <c r="A6" s="24" t="s">
        <v>69</v>
      </c>
      <c r="B6" s="43" t="n">
        <v>863</v>
      </c>
      <c r="C6" s="44" t="n">
        <v>294152.76</v>
      </c>
      <c r="D6" s="45" t="n">
        <v>0.206334978273885</v>
      </c>
    </row>
    <row r="7" customFormat="false" ht="15" hidden="false" customHeight="false" outlineLevel="0" collapsed="false">
      <c r="A7" s="46" t="s">
        <v>70</v>
      </c>
      <c r="B7" s="47" t="n">
        <v>617</v>
      </c>
      <c r="C7" s="48" t="n">
        <v>259278.65</v>
      </c>
      <c r="D7" s="49" t="n">
        <v>0.262730629047052</v>
      </c>
    </row>
    <row r="8" customFormat="false" ht="15" hidden="false" customHeight="false" outlineLevel="0" collapsed="false">
      <c r="A8" s="32" t="s">
        <v>71</v>
      </c>
      <c r="B8" s="43" t="n">
        <v>617</v>
      </c>
      <c r="C8" s="44" t="n">
        <v>5222764.65</v>
      </c>
      <c r="D8" s="45" t="n">
        <v>0.221808281106261</v>
      </c>
    </row>
    <row r="9" customFormat="false" ht="15" hidden="false" customHeight="false" outlineLevel="0" collapsed="false">
      <c r="A9" s="30" t="s">
        <v>72</v>
      </c>
      <c r="B9" s="47" t="n">
        <v>863</v>
      </c>
      <c r="C9" s="48" t="n">
        <v>9645030.25</v>
      </c>
      <c r="D9" s="49" t="n">
        <v>0.264149816902093</v>
      </c>
    </row>
    <row r="11" customFormat="false" ht="19.5" hidden="false" customHeight="true" outlineLevel="0" collapsed="false">
      <c r="A11" s="17" t="s">
        <v>73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</row>
    <row r="12" customFormat="false" ht="26.85" hidden="false" customHeight="false" outlineLevel="0" collapsed="false">
      <c r="A12" s="18" t="s">
        <v>74</v>
      </c>
      <c r="B12" s="18" t="s">
        <v>75</v>
      </c>
      <c r="C12" s="18" t="s">
        <v>76</v>
      </c>
      <c r="D12" s="18" t="s">
        <v>24</v>
      </c>
      <c r="E12" s="18" t="s">
        <v>77</v>
      </c>
      <c r="F12" s="18" t="s">
        <v>78</v>
      </c>
      <c r="G12" s="18" t="s">
        <v>79</v>
      </c>
      <c r="H12" s="18" t="s">
        <v>25</v>
      </c>
      <c r="I12" s="18" t="s">
        <v>80</v>
      </c>
      <c r="J12" s="18" t="s">
        <v>81</v>
      </c>
      <c r="K12" s="18" t="s">
        <v>65</v>
      </c>
      <c r="L12" s="18" t="s">
        <v>82</v>
      </c>
      <c r="M12" s="18" t="s">
        <v>83</v>
      </c>
      <c r="N12" s="18" t="s">
        <v>84</v>
      </c>
    </row>
    <row r="13" customFormat="false" ht="15" hidden="false" customHeight="false" outlineLevel="0" collapsed="false">
      <c r="A13" s="50" t="n">
        <v>1</v>
      </c>
      <c r="B13" s="51" t="s">
        <v>85</v>
      </c>
      <c r="C13" s="51" t="s">
        <v>86</v>
      </c>
      <c r="D13" s="52" t="n">
        <v>247937.8</v>
      </c>
      <c r="E13" s="52" t="n">
        <v>179553.298</v>
      </c>
      <c r="F13" s="52" t="n">
        <v>68384.502</v>
      </c>
      <c r="G13" s="53" t="n">
        <v>0.272609163441486</v>
      </c>
      <c r="H13" s="54" t="n">
        <v>1117</v>
      </c>
      <c r="I13" s="55" t="n">
        <v>221.967591763653</v>
      </c>
      <c r="J13" s="53" t="n">
        <v>0.0160776967418747</v>
      </c>
      <c r="K13" s="51" t="s">
        <v>72</v>
      </c>
      <c r="L13" s="53" t="n">
        <v>0.116383169203223</v>
      </c>
      <c r="M13" s="56" t="s">
        <v>87</v>
      </c>
      <c r="N13" s="57" t="n">
        <v>4.16411181244364</v>
      </c>
    </row>
    <row r="14" customFormat="false" ht="15" hidden="false" customHeight="false" outlineLevel="0" collapsed="false">
      <c r="A14" s="58" t="n">
        <v>2</v>
      </c>
      <c r="B14" s="25" t="s">
        <v>88</v>
      </c>
      <c r="C14" s="25" t="s">
        <v>86</v>
      </c>
      <c r="D14" s="59" t="n">
        <v>235963.73</v>
      </c>
      <c r="E14" s="59" t="n">
        <v>180320.102</v>
      </c>
      <c r="F14" s="59" t="n">
        <v>55643.628</v>
      </c>
      <c r="G14" s="60" t="n">
        <v>0.237332379561975</v>
      </c>
      <c r="H14" s="61" t="n">
        <v>966</v>
      </c>
      <c r="I14" s="62" t="n">
        <v>244.268871635611</v>
      </c>
      <c r="J14" s="60" t="n">
        <v>0.015301229957762</v>
      </c>
      <c r="K14" s="25" t="s">
        <v>71</v>
      </c>
      <c r="L14" s="60" t="n">
        <v>0.101449275362319</v>
      </c>
      <c r="M14" s="63" t="s">
        <v>87</v>
      </c>
      <c r="N14" s="64" t="n">
        <v>3.503125</v>
      </c>
    </row>
    <row r="15" customFormat="false" ht="15" hidden="false" customHeight="false" outlineLevel="0" collapsed="false">
      <c r="A15" s="65" t="n">
        <v>3</v>
      </c>
      <c r="B15" s="19" t="s">
        <v>89</v>
      </c>
      <c r="C15" s="19" t="s">
        <v>86</v>
      </c>
      <c r="D15" s="66" t="n">
        <v>233557.9</v>
      </c>
      <c r="E15" s="66" t="n">
        <v>174016.663</v>
      </c>
      <c r="F15" s="66" t="n">
        <v>59541.237</v>
      </c>
      <c r="G15" s="67" t="n">
        <v>0.250146539474557</v>
      </c>
      <c r="H15" s="68" t="n">
        <v>1726</v>
      </c>
      <c r="I15" s="69" t="n">
        <v>135.317439165701</v>
      </c>
      <c r="J15" s="67" t="n">
        <v>0.0151452222608618</v>
      </c>
      <c r="K15" s="19" t="s">
        <v>72</v>
      </c>
      <c r="L15" s="67" t="n">
        <v>0.112398609501738</v>
      </c>
      <c r="M15" s="70" t="s">
        <v>87</v>
      </c>
      <c r="N15" s="71" t="n">
        <v>3.88517867603984</v>
      </c>
    </row>
    <row r="16" customFormat="false" ht="15" hidden="false" customHeight="false" outlineLevel="0" collapsed="false">
      <c r="A16" s="58" t="n">
        <v>4</v>
      </c>
      <c r="B16" s="25" t="s">
        <v>90</v>
      </c>
      <c r="C16" s="25" t="s">
        <v>91</v>
      </c>
      <c r="D16" s="59" t="n">
        <v>230797.03</v>
      </c>
      <c r="E16" s="59" t="n">
        <v>165414.888</v>
      </c>
      <c r="F16" s="59" t="n">
        <v>65382.142</v>
      </c>
      <c r="G16" s="60" t="n">
        <v>0.276962139635141</v>
      </c>
      <c r="H16" s="61" t="n">
        <v>348</v>
      </c>
      <c r="I16" s="62" t="n">
        <v>663.209856321839</v>
      </c>
      <c r="J16" s="60" t="n">
        <v>0.0149661917515819</v>
      </c>
      <c r="K16" s="25" t="s">
        <v>72</v>
      </c>
      <c r="L16" s="60" t="n">
        <v>0.043103448275862</v>
      </c>
      <c r="M16" s="63" t="s">
        <v>87</v>
      </c>
      <c r="N16" s="64" t="n">
        <v>4.19364161849711</v>
      </c>
    </row>
    <row r="17" customFormat="false" ht="15" hidden="false" customHeight="false" outlineLevel="0" collapsed="false">
      <c r="A17" s="65" t="n">
        <v>5</v>
      </c>
      <c r="B17" s="19" t="s">
        <v>92</v>
      </c>
      <c r="C17" s="19" t="s">
        <v>86</v>
      </c>
      <c r="D17" s="66" t="n">
        <v>200044.11</v>
      </c>
      <c r="E17" s="66" t="n">
        <v>142990.167</v>
      </c>
      <c r="F17" s="66" t="n">
        <v>57053.943</v>
      </c>
      <c r="G17" s="67" t="n">
        <v>0.280165268759856</v>
      </c>
      <c r="H17" s="68" t="n">
        <v>571</v>
      </c>
      <c r="I17" s="69" t="n">
        <v>350.339947460595</v>
      </c>
      <c r="J17" s="67" t="n">
        <v>0.0129719975557508</v>
      </c>
      <c r="K17" s="19" t="s">
        <v>72</v>
      </c>
      <c r="L17" s="67" t="n">
        <v>0.103327495621716</v>
      </c>
      <c r="M17" s="70" t="s">
        <v>87</v>
      </c>
      <c r="N17" s="71" t="n">
        <v>4.39329805996473</v>
      </c>
    </row>
    <row r="18" customFormat="false" ht="15" hidden="false" customHeight="false" outlineLevel="0" collapsed="false">
      <c r="A18" s="58" t="n">
        <v>6</v>
      </c>
      <c r="B18" s="25" t="s">
        <v>93</v>
      </c>
      <c r="C18" s="25" t="s">
        <v>86</v>
      </c>
      <c r="D18" s="59" t="n">
        <v>185870.2</v>
      </c>
      <c r="E18" s="59" t="n">
        <v>137499.829</v>
      </c>
      <c r="F18" s="59" t="n">
        <v>48370.371</v>
      </c>
      <c r="G18" s="60" t="n">
        <v>0.248811551462315</v>
      </c>
      <c r="H18" s="61" t="n">
        <v>1295</v>
      </c>
      <c r="I18" s="62" t="n">
        <v>143.529111969112</v>
      </c>
      <c r="J18" s="60" t="n">
        <v>0.0120528806376099</v>
      </c>
      <c r="K18" s="25" t="s">
        <v>72</v>
      </c>
      <c r="L18" s="60" t="n">
        <v>0.0772200772200772</v>
      </c>
      <c r="M18" s="63" t="s">
        <v>87</v>
      </c>
      <c r="N18" s="64" t="n">
        <v>4.19084561675718</v>
      </c>
    </row>
    <row r="19" customFormat="false" ht="15" hidden="false" customHeight="false" outlineLevel="0" collapsed="false">
      <c r="A19" s="65" t="n">
        <v>7</v>
      </c>
      <c r="B19" s="19" t="s">
        <v>94</v>
      </c>
      <c r="C19" s="19" t="s">
        <v>86</v>
      </c>
      <c r="D19" s="66" t="n">
        <v>172783.31</v>
      </c>
      <c r="E19" s="66" t="n">
        <v>131155.995</v>
      </c>
      <c r="F19" s="66" t="n">
        <v>41627.315</v>
      </c>
      <c r="G19" s="67" t="n">
        <v>0.235242671500784</v>
      </c>
      <c r="H19" s="68" t="n">
        <v>898</v>
      </c>
      <c r="I19" s="69" t="n">
        <v>192.409031180401</v>
      </c>
      <c r="J19" s="67" t="n">
        <v>0.011204252277133</v>
      </c>
      <c r="K19" s="19" t="s">
        <v>71</v>
      </c>
      <c r="L19" s="67" t="n">
        <v>0.102449888641425</v>
      </c>
      <c r="M19" s="70" t="s">
        <v>87</v>
      </c>
      <c r="N19" s="71" t="n">
        <v>4.01795735129069</v>
      </c>
    </row>
    <row r="20" customFormat="false" ht="15" hidden="false" customHeight="false" outlineLevel="0" collapsed="false">
      <c r="A20" s="58" t="n">
        <v>8</v>
      </c>
      <c r="B20" s="25" t="s">
        <v>95</v>
      </c>
      <c r="C20" s="25" t="s">
        <v>86</v>
      </c>
      <c r="D20" s="59" t="n">
        <v>171567.13</v>
      </c>
      <c r="E20" s="59" t="n">
        <v>121900.243</v>
      </c>
      <c r="F20" s="59" t="n">
        <v>49666.887</v>
      </c>
      <c r="G20" s="60" t="n">
        <v>0.285355868806679</v>
      </c>
      <c r="H20" s="61" t="n">
        <v>318</v>
      </c>
      <c r="I20" s="62" t="n">
        <v>539.51927672956</v>
      </c>
      <c r="J20" s="60" t="n">
        <v>0.0111253882506572</v>
      </c>
      <c r="K20" s="25" t="s">
        <v>72</v>
      </c>
      <c r="L20" s="60" t="n">
        <v>0.0566037735849056</v>
      </c>
      <c r="M20" s="72" t="s">
        <v>96</v>
      </c>
      <c r="N20" s="64" t="n">
        <v>4.37539432176656</v>
      </c>
    </row>
    <row r="21" customFormat="false" ht="15" hidden="false" customHeight="false" outlineLevel="0" collapsed="false">
      <c r="A21" s="65" t="n">
        <v>9</v>
      </c>
      <c r="B21" s="19" t="s">
        <v>97</v>
      </c>
      <c r="C21" s="19" t="s">
        <v>86</v>
      </c>
      <c r="D21" s="66" t="n">
        <v>161293.48</v>
      </c>
      <c r="E21" s="66" t="n">
        <v>119094.071</v>
      </c>
      <c r="F21" s="66" t="n">
        <v>42199.409</v>
      </c>
      <c r="G21" s="67" t="n">
        <v>0.255258102428593</v>
      </c>
      <c r="H21" s="68" t="n">
        <v>1135</v>
      </c>
      <c r="I21" s="69" t="n">
        <v>142.108792951542</v>
      </c>
      <c r="J21" s="67" t="n">
        <v>0.0104591863680392</v>
      </c>
      <c r="K21" s="19" t="s">
        <v>72</v>
      </c>
      <c r="L21" s="67" t="n">
        <v>0.0599118942731277</v>
      </c>
      <c r="M21" s="70" t="s">
        <v>87</v>
      </c>
      <c r="N21" s="71" t="n">
        <v>4.29547471162378</v>
      </c>
    </row>
    <row r="22" customFormat="false" ht="15" hidden="false" customHeight="false" outlineLevel="0" collapsed="false">
      <c r="A22" s="58" t="n">
        <v>10</v>
      </c>
      <c r="B22" s="25" t="s">
        <v>98</v>
      </c>
      <c r="C22" s="25" t="s">
        <v>86</v>
      </c>
      <c r="D22" s="59" t="n">
        <v>156734.26</v>
      </c>
      <c r="E22" s="59" t="n">
        <v>117131.47</v>
      </c>
      <c r="F22" s="59" t="n">
        <v>39602.79</v>
      </c>
      <c r="G22" s="60" t="n">
        <v>0.241666800767285</v>
      </c>
      <c r="H22" s="61" t="n">
        <v>1255</v>
      </c>
      <c r="I22" s="62" t="n">
        <v>124.887856573705</v>
      </c>
      <c r="J22" s="60" t="n">
        <v>0.0101635406192285</v>
      </c>
      <c r="K22" s="25" t="s">
        <v>71</v>
      </c>
      <c r="L22" s="60" t="n">
        <v>0.0780876494023904</v>
      </c>
      <c r="M22" s="63" t="s">
        <v>87</v>
      </c>
      <c r="N22" s="64" t="n">
        <v>4.20689655172414</v>
      </c>
    </row>
    <row r="25" customFormat="false" ht="15" hidden="false" customHeight="false" outlineLevel="0" collapsed="false">
      <c r="A25" s="73" t="s">
        <v>99</v>
      </c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</row>
    <row r="26" customFormat="false" ht="39.55" hidden="false" customHeight="false" outlineLevel="0" collapsed="false">
      <c r="A26" s="74" t="s">
        <v>74</v>
      </c>
      <c r="B26" s="74" t="s">
        <v>75</v>
      </c>
      <c r="C26" s="74" t="s">
        <v>76</v>
      </c>
      <c r="D26" s="74" t="s">
        <v>24</v>
      </c>
      <c r="E26" s="74" t="s">
        <v>78</v>
      </c>
      <c r="F26" s="74" t="s">
        <v>79</v>
      </c>
      <c r="G26" s="74" t="s">
        <v>25</v>
      </c>
      <c r="H26" s="74" t="s">
        <v>100</v>
      </c>
      <c r="I26" s="74" t="s">
        <v>65</v>
      </c>
      <c r="J26" s="74" t="s">
        <v>101</v>
      </c>
    </row>
    <row r="27" customFormat="false" ht="15" hidden="false" customHeight="false" outlineLevel="0" collapsed="false">
      <c r="A27" s="23" t="n">
        <v>1</v>
      </c>
      <c r="B27" s="23" t="s">
        <v>88</v>
      </c>
      <c r="C27" s="23" t="s">
        <v>86</v>
      </c>
      <c r="D27" s="20" t="n">
        <v>235963.73</v>
      </c>
      <c r="E27" s="20" t="n">
        <v>55643.628</v>
      </c>
      <c r="F27" s="75" t="n">
        <v>0.237332379561975</v>
      </c>
      <c r="G27" s="23" t="n">
        <v>966</v>
      </c>
      <c r="H27" s="76" t="n">
        <v>3.503125</v>
      </c>
      <c r="I27" s="23" t="s">
        <v>102</v>
      </c>
      <c r="J27" s="77" t="s">
        <v>103</v>
      </c>
    </row>
    <row r="28" customFormat="false" ht="15" hidden="false" customHeight="false" outlineLevel="0" collapsed="false">
      <c r="A28" s="78" t="n">
        <v>2</v>
      </c>
      <c r="B28" s="78" t="s">
        <v>94</v>
      </c>
      <c r="C28" s="78" t="s">
        <v>86</v>
      </c>
      <c r="D28" s="26" t="n">
        <v>172783.31</v>
      </c>
      <c r="E28" s="26" t="n">
        <v>41627.315</v>
      </c>
      <c r="F28" s="79" t="n">
        <v>0.235242671500784</v>
      </c>
      <c r="G28" s="78" t="n">
        <v>898</v>
      </c>
      <c r="H28" s="80" t="n">
        <v>4.01795735129069</v>
      </c>
      <c r="I28" s="78" t="s">
        <v>102</v>
      </c>
      <c r="J28" s="81" t="s">
        <v>103</v>
      </c>
    </row>
    <row r="29" customFormat="false" ht="15" hidden="false" customHeight="false" outlineLevel="0" collapsed="false">
      <c r="A29" s="23" t="n">
        <v>3</v>
      </c>
      <c r="B29" s="23" t="s">
        <v>98</v>
      </c>
      <c r="C29" s="23" t="s">
        <v>86</v>
      </c>
      <c r="D29" s="20" t="n">
        <v>156734.26</v>
      </c>
      <c r="E29" s="20" t="n">
        <v>39602.79</v>
      </c>
      <c r="F29" s="75" t="n">
        <v>0.241666800767285</v>
      </c>
      <c r="G29" s="23" t="n">
        <v>1255</v>
      </c>
      <c r="H29" s="76" t="n">
        <v>4.20689655172414</v>
      </c>
      <c r="I29" s="23" t="s">
        <v>102</v>
      </c>
      <c r="J29" s="77" t="s">
        <v>103</v>
      </c>
    </row>
    <row r="30" customFormat="false" ht="15" hidden="false" customHeight="false" outlineLevel="0" collapsed="false">
      <c r="A30" s="78" t="n">
        <v>4</v>
      </c>
      <c r="B30" s="78" t="s">
        <v>104</v>
      </c>
      <c r="C30" s="78" t="s">
        <v>86</v>
      </c>
      <c r="D30" s="26" t="n">
        <v>149348.93</v>
      </c>
      <c r="E30" s="26" t="n">
        <v>36554.417</v>
      </c>
      <c r="F30" s="79" t="n">
        <v>0.240065491695449</v>
      </c>
      <c r="G30" s="78" t="n">
        <v>1809</v>
      </c>
      <c r="H30" s="80" t="n">
        <v>3.98551532033426</v>
      </c>
      <c r="I30" s="78" t="s">
        <v>102</v>
      </c>
      <c r="J30" s="81" t="s">
        <v>103</v>
      </c>
    </row>
    <row r="31" customFormat="false" ht="15" hidden="false" customHeight="false" outlineLevel="0" collapsed="false">
      <c r="A31" s="23" t="n">
        <v>5</v>
      </c>
      <c r="B31" s="23" t="s">
        <v>105</v>
      </c>
      <c r="C31" s="23" t="s">
        <v>86</v>
      </c>
      <c r="D31" s="20" t="n">
        <v>142398.91</v>
      </c>
      <c r="E31" s="20" t="n">
        <v>32204.597</v>
      </c>
      <c r="F31" s="75" t="n">
        <v>0.227575282747791</v>
      </c>
      <c r="G31" s="23" t="n">
        <v>1384</v>
      </c>
      <c r="H31" s="76" t="n">
        <v>4.15518491660624</v>
      </c>
      <c r="I31" s="23" t="s">
        <v>102</v>
      </c>
      <c r="J31" s="77" t="s">
        <v>103</v>
      </c>
    </row>
    <row r="32" customFormat="false" ht="15" hidden="false" customHeight="false" outlineLevel="0" collapsed="false">
      <c r="A32" s="78" t="n">
        <v>6</v>
      </c>
      <c r="B32" s="78" t="s">
        <v>106</v>
      </c>
      <c r="C32" s="78" t="s">
        <v>107</v>
      </c>
      <c r="D32" s="26" t="n">
        <v>130620.46</v>
      </c>
      <c r="E32" s="26" t="n">
        <v>29921.701</v>
      </c>
      <c r="F32" s="79" t="n">
        <v>0.228613595104554</v>
      </c>
      <c r="G32" s="78" t="n">
        <v>699</v>
      </c>
      <c r="H32" s="80" t="n">
        <v>4.28407460545194</v>
      </c>
      <c r="I32" s="78" t="s">
        <v>102</v>
      </c>
      <c r="J32" s="81" t="s">
        <v>103</v>
      </c>
    </row>
    <row r="33" customFormat="false" ht="15" hidden="false" customHeight="false" outlineLevel="0" collapsed="false">
      <c r="A33" s="23" t="n">
        <v>7</v>
      </c>
      <c r="B33" s="23" t="s">
        <v>108</v>
      </c>
      <c r="C33" s="23" t="s">
        <v>86</v>
      </c>
      <c r="D33" s="20" t="n">
        <v>127218.18</v>
      </c>
      <c r="E33" s="20" t="n">
        <v>30668.277</v>
      </c>
      <c r="F33" s="75" t="n">
        <v>0.235410281657132</v>
      </c>
      <c r="G33" s="23" t="n">
        <v>1648</v>
      </c>
      <c r="H33" s="76" t="n">
        <v>4.15693430656934</v>
      </c>
      <c r="I33" s="23" t="s">
        <v>102</v>
      </c>
      <c r="J33" s="77" t="s">
        <v>103</v>
      </c>
    </row>
    <row r="34" customFormat="false" ht="15" hidden="false" customHeight="false" outlineLevel="0" collapsed="false">
      <c r="A34" s="78" t="n">
        <v>8</v>
      </c>
      <c r="B34" s="78" t="s">
        <v>109</v>
      </c>
      <c r="C34" s="78" t="s">
        <v>86</v>
      </c>
      <c r="D34" s="26" t="n">
        <v>115738.35</v>
      </c>
      <c r="E34" s="26" t="n">
        <v>28117.97</v>
      </c>
      <c r="F34" s="79" t="n">
        <v>0.238191567086847</v>
      </c>
      <c r="G34" s="78" t="n">
        <v>1052</v>
      </c>
      <c r="H34" s="80" t="n">
        <v>4.20365033621518</v>
      </c>
      <c r="I34" s="78" t="s">
        <v>102</v>
      </c>
      <c r="J34" s="81" t="s">
        <v>103</v>
      </c>
    </row>
    <row r="35" customFormat="false" ht="15" hidden="false" customHeight="false" outlineLevel="0" collapsed="false">
      <c r="A35" s="23" t="n">
        <v>9</v>
      </c>
      <c r="B35" s="23" t="s">
        <v>110</v>
      </c>
      <c r="C35" s="23" t="s">
        <v>86</v>
      </c>
      <c r="D35" s="20" t="n">
        <v>75466.61</v>
      </c>
      <c r="E35" s="20" t="n">
        <v>18517.046</v>
      </c>
      <c r="F35" s="75" t="n">
        <v>0.239536938343031</v>
      </c>
      <c r="G35" s="23" t="n">
        <v>675</v>
      </c>
      <c r="H35" s="76" t="n">
        <v>3.94126506024096</v>
      </c>
      <c r="I35" s="23" t="s">
        <v>102</v>
      </c>
      <c r="J35" s="77" t="s">
        <v>103</v>
      </c>
    </row>
    <row r="36" customFormat="false" ht="15" hidden="false" customHeight="false" outlineLevel="0" collapsed="false">
      <c r="A36" s="78" t="n">
        <v>10</v>
      </c>
      <c r="B36" s="78" t="s">
        <v>111</v>
      </c>
      <c r="C36" s="78" t="s">
        <v>86</v>
      </c>
      <c r="D36" s="26" t="n">
        <v>62524.13</v>
      </c>
      <c r="E36" s="26" t="n">
        <v>15017.471</v>
      </c>
      <c r="F36" s="79" t="n">
        <v>0.227111147729583</v>
      </c>
      <c r="G36" s="78" t="n">
        <v>652</v>
      </c>
      <c r="H36" s="80" t="n">
        <v>4.28505392912173</v>
      </c>
      <c r="I36" s="78" t="s">
        <v>102</v>
      </c>
      <c r="J36" s="81" t="s">
        <v>103</v>
      </c>
    </row>
    <row r="37" customFormat="false" ht="15" hidden="false" customHeight="false" outlineLevel="0" collapsed="false">
      <c r="A37" s="23" t="n">
        <v>11</v>
      </c>
      <c r="B37" s="23" t="s">
        <v>112</v>
      </c>
      <c r="C37" s="23" t="s">
        <v>86</v>
      </c>
      <c r="D37" s="20" t="n">
        <v>53803.69</v>
      </c>
      <c r="E37" s="20" t="n">
        <v>11045.252</v>
      </c>
      <c r="F37" s="75" t="n">
        <v>0.203540346080505</v>
      </c>
      <c r="G37" s="23" t="n">
        <v>1122</v>
      </c>
      <c r="H37" s="76" t="n">
        <v>4.04480286738351</v>
      </c>
      <c r="I37" s="23" t="s">
        <v>102</v>
      </c>
      <c r="J37" s="77" t="s">
        <v>103</v>
      </c>
    </row>
    <row r="38" customFormat="false" ht="15" hidden="false" customHeight="false" outlineLevel="0" collapsed="false">
      <c r="A38" s="78" t="n">
        <v>12</v>
      </c>
      <c r="B38" s="78" t="s">
        <v>113</v>
      </c>
      <c r="C38" s="78" t="s">
        <v>86</v>
      </c>
      <c r="D38" s="26" t="n">
        <v>52935.88</v>
      </c>
      <c r="E38" s="26" t="n">
        <v>12835.279</v>
      </c>
      <c r="F38" s="79" t="n">
        <v>0.226503019355982</v>
      </c>
      <c r="G38" s="78" t="n">
        <v>641</v>
      </c>
      <c r="H38" s="80" t="n">
        <v>4.26959247648903</v>
      </c>
      <c r="I38" s="78" t="s">
        <v>102</v>
      </c>
      <c r="J38" s="81" t="s">
        <v>103</v>
      </c>
    </row>
    <row r="39" customFormat="false" ht="15" hidden="false" customHeight="false" outlineLevel="0" collapsed="false">
      <c r="A39" s="23" t="n">
        <v>13</v>
      </c>
      <c r="B39" s="23" t="s">
        <v>114</v>
      </c>
      <c r="C39" s="23" t="s">
        <v>86</v>
      </c>
      <c r="D39" s="20" t="n">
        <v>49435.28</v>
      </c>
      <c r="E39" s="20" t="n">
        <v>11875.694</v>
      </c>
      <c r="F39" s="75" t="n">
        <v>0.231140957027868</v>
      </c>
      <c r="G39" s="23" t="n">
        <v>505</v>
      </c>
      <c r="H39" s="76" t="n">
        <v>4.06560636182903</v>
      </c>
      <c r="I39" s="23" t="s">
        <v>102</v>
      </c>
      <c r="J39" s="77" t="s">
        <v>103</v>
      </c>
    </row>
    <row r="40" customFormat="false" ht="15" hidden="false" customHeight="false" outlineLevel="0" collapsed="false">
      <c r="A40" s="78" t="n">
        <v>14</v>
      </c>
      <c r="B40" s="78" t="s">
        <v>115</v>
      </c>
      <c r="C40" s="78" t="s">
        <v>86</v>
      </c>
      <c r="D40" s="26" t="n">
        <v>49015.61</v>
      </c>
      <c r="E40" s="26" t="n">
        <v>12009.077</v>
      </c>
      <c r="F40" s="79" t="n">
        <v>0.221844997996607</v>
      </c>
      <c r="G40" s="78" t="n">
        <v>524</v>
      </c>
      <c r="H40" s="80" t="n">
        <v>4.14807692307692</v>
      </c>
      <c r="I40" s="78" t="s">
        <v>102</v>
      </c>
      <c r="J40" s="81" t="s">
        <v>103</v>
      </c>
    </row>
    <row r="41" customFormat="false" ht="15" hidden="false" customHeight="false" outlineLevel="0" collapsed="false">
      <c r="A41" s="23" t="n">
        <v>15</v>
      </c>
      <c r="B41" s="23" t="s">
        <v>116</v>
      </c>
      <c r="C41" s="23" t="s">
        <v>117</v>
      </c>
      <c r="D41" s="20" t="n">
        <v>48073.62</v>
      </c>
      <c r="E41" s="20" t="n">
        <v>10809.297</v>
      </c>
      <c r="F41" s="75" t="n">
        <v>0.224235455736229</v>
      </c>
      <c r="G41" s="23" t="n">
        <v>388</v>
      </c>
      <c r="H41" s="76" t="n">
        <v>4.01822916666667</v>
      </c>
      <c r="I41" s="23" t="s">
        <v>102</v>
      </c>
      <c r="J41" s="77" t="s">
        <v>103</v>
      </c>
    </row>
    <row r="42" customFormat="false" ht="15" hidden="false" customHeight="false" outlineLevel="0" collapsed="false">
      <c r="A42" s="78" t="n">
        <v>16</v>
      </c>
      <c r="B42" s="78" t="s">
        <v>118</v>
      </c>
      <c r="C42" s="78" t="s">
        <v>86</v>
      </c>
      <c r="D42" s="26" t="n">
        <v>42013.69</v>
      </c>
      <c r="E42" s="26" t="n">
        <v>10008.241</v>
      </c>
      <c r="F42" s="79" t="n">
        <v>0.22923683389437</v>
      </c>
      <c r="G42" s="78" t="n">
        <v>394</v>
      </c>
      <c r="H42" s="80" t="n">
        <v>3.71099744245524</v>
      </c>
      <c r="I42" s="78" t="s">
        <v>102</v>
      </c>
      <c r="J42" s="81" t="s">
        <v>103</v>
      </c>
    </row>
    <row r="43" customFormat="false" ht="15" hidden="false" customHeight="false" outlineLevel="0" collapsed="false">
      <c r="A43" s="23" t="n">
        <v>17</v>
      </c>
      <c r="B43" s="23" t="s">
        <v>119</v>
      </c>
      <c r="C43" s="23" t="s">
        <v>107</v>
      </c>
      <c r="D43" s="20" t="n">
        <v>41253.08</v>
      </c>
      <c r="E43" s="20" t="n">
        <v>10323.832</v>
      </c>
      <c r="F43" s="75" t="n">
        <v>0.218764646429597</v>
      </c>
      <c r="G43" s="23" t="n">
        <v>334</v>
      </c>
      <c r="H43" s="76" t="n">
        <v>4.42814371257485</v>
      </c>
      <c r="I43" s="23" t="s">
        <v>102</v>
      </c>
      <c r="J43" s="77" t="s">
        <v>103</v>
      </c>
    </row>
    <row r="44" customFormat="false" ht="15" hidden="false" customHeight="false" outlineLevel="0" collapsed="false">
      <c r="A44" s="78" t="n">
        <v>18</v>
      </c>
      <c r="B44" s="78" t="s">
        <v>120</v>
      </c>
      <c r="C44" s="78" t="s">
        <v>121</v>
      </c>
      <c r="D44" s="26" t="n">
        <v>41180.43</v>
      </c>
      <c r="E44" s="26" t="n">
        <v>11038.61</v>
      </c>
      <c r="F44" s="79" t="n">
        <v>0.237777726972319</v>
      </c>
      <c r="G44" s="78" t="n">
        <v>202</v>
      </c>
      <c r="H44" s="80" t="n">
        <v>4.05970149253731</v>
      </c>
      <c r="I44" s="78" t="s">
        <v>102</v>
      </c>
      <c r="J44" s="81" t="s">
        <v>103</v>
      </c>
    </row>
    <row r="45" customFormat="false" ht="15" hidden="false" customHeight="false" outlineLevel="0" collapsed="false">
      <c r="A45" s="23" t="n">
        <v>19</v>
      </c>
      <c r="B45" s="23" t="s">
        <v>122</v>
      </c>
      <c r="C45" s="23" t="s">
        <v>107</v>
      </c>
      <c r="D45" s="20" t="n">
        <v>40171.96</v>
      </c>
      <c r="E45" s="20" t="n">
        <v>9726.328</v>
      </c>
      <c r="F45" s="75" t="n">
        <v>0.239267484545681</v>
      </c>
      <c r="G45" s="23" t="n">
        <v>387</v>
      </c>
      <c r="H45" s="76" t="n">
        <v>4.35233160621762</v>
      </c>
      <c r="I45" s="23" t="s">
        <v>102</v>
      </c>
      <c r="J45" s="77" t="s">
        <v>103</v>
      </c>
    </row>
    <row r="46" customFormat="false" ht="15" hidden="false" customHeight="false" outlineLevel="0" collapsed="false">
      <c r="A46" s="78" t="n">
        <v>20</v>
      </c>
      <c r="B46" s="78" t="s">
        <v>123</v>
      </c>
      <c r="C46" s="78" t="s">
        <v>86</v>
      </c>
      <c r="D46" s="26" t="n">
        <v>39306.62</v>
      </c>
      <c r="E46" s="26" t="n">
        <v>8881.57</v>
      </c>
      <c r="F46" s="79" t="n">
        <v>0.22035533848796</v>
      </c>
      <c r="G46" s="78" t="n">
        <v>453</v>
      </c>
      <c r="H46" s="80" t="n">
        <v>4.14380530973451</v>
      </c>
      <c r="I46" s="78" t="s">
        <v>102</v>
      </c>
      <c r="J46" s="81" t="s">
        <v>103</v>
      </c>
    </row>
    <row r="47" customFormat="false" ht="15" hidden="false" customHeight="false" outlineLevel="0" collapsed="false">
      <c r="A47" s="23" t="n">
        <v>21</v>
      </c>
      <c r="B47" s="23" t="s">
        <v>124</v>
      </c>
      <c r="C47" s="23" t="s">
        <v>86</v>
      </c>
      <c r="D47" s="20" t="n">
        <v>38392.64</v>
      </c>
      <c r="E47" s="20" t="n">
        <v>9244.663</v>
      </c>
      <c r="F47" s="75" t="n">
        <v>0.230476395637538</v>
      </c>
      <c r="G47" s="23" t="n">
        <v>298</v>
      </c>
      <c r="H47" s="76" t="n">
        <v>3.87074829931973</v>
      </c>
      <c r="I47" s="23" t="s">
        <v>102</v>
      </c>
      <c r="J47" s="77" t="s">
        <v>103</v>
      </c>
    </row>
    <row r="48" customFormat="false" ht="15" hidden="false" customHeight="false" outlineLevel="0" collapsed="false">
      <c r="A48" s="78" t="n">
        <v>22</v>
      </c>
      <c r="B48" s="78" t="s">
        <v>125</v>
      </c>
      <c r="C48" s="78" t="s">
        <v>126</v>
      </c>
      <c r="D48" s="26" t="n">
        <v>37785.69</v>
      </c>
      <c r="E48" s="26" t="n">
        <v>9204.909</v>
      </c>
      <c r="F48" s="79" t="n">
        <v>0.233162046055295</v>
      </c>
      <c r="G48" s="78" t="n">
        <v>302</v>
      </c>
      <c r="H48" s="80" t="n">
        <v>4.41196013289037</v>
      </c>
      <c r="I48" s="78" t="s">
        <v>102</v>
      </c>
      <c r="J48" s="81" t="s">
        <v>103</v>
      </c>
    </row>
    <row r="49" customFormat="false" ht="15" hidden="false" customHeight="false" outlineLevel="0" collapsed="false">
      <c r="A49" s="23" t="n">
        <v>23</v>
      </c>
      <c r="B49" s="23" t="s">
        <v>127</v>
      </c>
      <c r="C49" s="23" t="s">
        <v>128</v>
      </c>
      <c r="D49" s="20" t="n">
        <v>37377.51</v>
      </c>
      <c r="E49" s="20" t="n">
        <v>9242.684</v>
      </c>
      <c r="F49" s="75" t="n">
        <v>0.240710939826323</v>
      </c>
      <c r="G49" s="23" t="n">
        <v>230</v>
      </c>
      <c r="H49" s="76" t="n">
        <v>4.40174672489083</v>
      </c>
      <c r="I49" s="23" t="s">
        <v>102</v>
      </c>
      <c r="J49" s="77" t="s">
        <v>103</v>
      </c>
    </row>
    <row r="50" customFormat="false" ht="15" hidden="false" customHeight="false" outlineLevel="0" collapsed="false">
      <c r="A50" s="78" t="n">
        <v>24</v>
      </c>
      <c r="B50" s="78" t="s">
        <v>129</v>
      </c>
      <c r="C50" s="78" t="s">
        <v>107</v>
      </c>
      <c r="D50" s="26" t="n">
        <v>35989.91</v>
      </c>
      <c r="E50" s="26" t="n">
        <v>8816.122</v>
      </c>
      <c r="F50" s="79" t="n">
        <v>0.236277524366134</v>
      </c>
      <c r="G50" s="78" t="n">
        <v>244</v>
      </c>
      <c r="H50" s="80" t="n">
        <v>4.35950413223141</v>
      </c>
      <c r="I50" s="78" t="s">
        <v>102</v>
      </c>
      <c r="J50" s="81" t="s">
        <v>103</v>
      </c>
    </row>
    <row r="51" customFormat="false" ht="15" hidden="false" customHeight="false" outlineLevel="0" collapsed="false">
      <c r="A51" s="23" t="n">
        <v>25</v>
      </c>
      <c r="B51" s="23" t="s">
        <v>130</v>
      </c>
      <c r="C51" s="23" t="s">
        <v>86</v>
      </c>
      <c r="D51" s="20" t="n">
        <v>35784.69</v>
      </c>
      <c r="E51" s="20" t="n">
        <v>9597.791</v>
      </c>
      <c r="F51" s="75" t="n">
        <v>0.239069967072175</v>
      </c>
      <c r="G51" s="23" t="n">
        <v>127</v>
      </c>
      <c r="H51" s="76" t="n">
        <v>4.15873015873016</v>
      </c>
      <c r="I51" s="23" t="s">
        <v>102</v>
      </c>
      <c r="J51" s="77" t="s">
        <v>103</v>
      </c>
    </row>
    <row r="52" customFormat="false" ht="15" hidden="false" customHeight="false" outlineLevel="0" collapsed="false">
      <c r="A52" s="78" t="n">
        <v>26</v>
      </c>
      <c r="B52" s="78" t="s">
        <v>131</v>
      </c>
      <c r="C52" s="78" t="s">
        <v>86</v>
      </c>
      <c r="D52" s="26" t="n">
        <v>35353.03</v>
      </c>
      <c r="E52" s="26" t="n">
        <v>8974.41</v>
      </c>
      <c r="F52" s="79" t="n">
        <v>0.239988865582425</v>
      </c>
      <c r="G52" s="78" t="n">
        <v>309</v>
      </c>
      <c r="H52" s="80" t="n">
        <v>3.80456026058632</v>
      </c>
      <c r="I52" s="78" t="s">
        <v>102</v>
      </c>
      <c r="J52" s="81" t="s">
        <v>103</v>
      </c>
    </row>
    <row r="53" customFormat="false" ht="15" hidden="false" customHeight="false" outlineLevel="0" collapsed="false">
      <c r="A53" s="23" t="n">
        <v>27</v>
      </c>
      <c r="B53" s="23" t="s">
        <v>132</v>
      </c>
      <c r="C53" s="23" t="s">
        <v>133</v>
      </c>
      <c r="D53" s="20" t="n">
        <v>32968.36</v>
      </c>
      <c r="E53" s="20" t="n">
        <v>7304.129</v>
      </c>
      <c r="F53" s="75" t="n">
        <v>0.221439708408897</v>
      </c>
      <c r="G53" s="23" t="n">
        <v>194</v>
      </c>
      <c r="H53" s="76" t="n">
        <v>4.07853403141361</v>
      </c>
      <c r="I53" s="23" t="s">
        <v>102</v>
      </c>
      <c r="J53" s="77" t="s">
        <v>103</v>
      </c>
    </row>
    <row r="54" customFormat="false" ht="15" hidden="false" customHeight="false" outlineLevel="0" collapsed="false">
      <c r="A54" s="78" t="n">
        <v>28</v>
      </c>
      <c r="B54" s="78" t="s">
        <v>134</v>
      </c>
      <c r="C54" s="78" t="s">
        <v>86</v>
      </c>
      <c r="D54" s="26" t="n">
        <v>32678.49</v>
      </c>
      <c r="E54" s="26" t="n">
        <v>7367.365</v>
      </c>
      <c r="F54" s="79" t="n">
        <v>0.217950383799626</v>
      </c>
      <c r="G54" s="78" t="n">
        <v>377</v>
      </c>
      <c r="H54" s="80" t="n">
        <v>3.93530997304582</v>
      </c>
      <c r="I54" s="78" t="s">
        <v>102</v>
      </c>
      <c r="J54" s="81" t="s">
        <v>103</v>
      </c>
    </row>
    <row r="55" customFormat="false" ht="15" hidden="false" customHeight="false" outlineLevel="0" collapsed="false">
      <c r="A55" s="23" t="n">
        <v>29</v>
      </c>
      <c r="B55" s="23" t="s">
        <v>135</v>
      </c>
      <c r="C55" s="23" t="s">
        <v>107</v>
      </c>
      <c r="D55" s="20" t="n">
        <v>32119.1</v>
      </c>
      <c r="E55" s="20" t="n">
        <v>8167.35</v>
      </c>
      <c r="F55" s="75" t="n">
        <v>0.241957947114518</v>
      </c>
      <c r="G55" s="23" t="n">
        <v>124</v>
      </c>
      <c r="H55" s="76" t="n">
        <v>3.97560975609756</v>
      </c>
      <c r="I55" s="23" t="s">
        <v>102</v>
      </c>
      <c r="J55" s="77" t="s">
        <v>103</v>
      </c>
    </row>
    <row r="56" customFormat="false" ht="15" hidden="false" customHeight="false" outlineLevel="0" collapsed="false">
      <c r="A56" s="78" t="n">
        <v>30</v>
      </c>
      <c r="B56" s="78" t="s">
        <v>136</v>
      </c>
      <c r="C56" s="78" t="s">
        <v>128</v>
      </c>
      <c r="D56" s="26" t="n">
        <v>32096.18</v>
      </c>
      <c r="E56" s="26" t="n">
        <v>8800.797</v>
      </c>
      <c r="F56" s="79" t="n">
        <v>0.23605947094371</v>
      </c>
      <c r="G56" s="78" t="n">
        <v>39</v>
      </c>
      <c r="H56" s="80" t="n">
        <v>4.41025641025641</v>
      </c>
      <c r="I56" s="78" t="s">
        <v>102</v>
      </c>
      <c r="J56" s="81" t="s">
        <v>103</v>
      </c>
    </row>
  </sheetData>
  <mergeCells count="4">
    <mergeCell ref="A1:N1"/>
    <mergeCell ref="A4:D4"/>
    <mergeCell ref="A11:N11"/>
    <mergeCell ref="A25:N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8"/>
  </cols>
  <sheetData>
    <row r="1" customFormat="false" ht="39.75" hidden="false" customHeight="true" outlineLevel="0" collapsed="false">
      <c r="A1" s="8" t="s">
        <v>137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3" customFormat="false" ht="15" hidden="false" customHeight="true" outlineLevel="0" collapsed="false">
      <c r="B3" s="5" t="s">
        <v>138</v>
      </c>
      <c r="C3" s="5"/>
      <c r="D3" s="5"/>
      <c r="E3" s="5" t="s">
        <v>139</v>
      </c>
      <c r="F3" s="5"/>
      <c r="G3" s="5"/>
      <c r="H3" s="5" t="s">
        <v>140</v>
      </c>
      <c r="I3" s="5"/>
      <c r="J3" s="5"/>
      <c r="K3" s="5" t="s">
        <v>141</v>
      </c>
      <c r="L3" s="5"/>
      <c r="M3" s="5"/>
    </row>
    <row r="4" customFormat="false" ht="17.35" hidden="false" customHeight="true" outlineLevel="0" collapsed="false">
      <c r="B4" s="82" t="s">
        <v>142</v>
      </c>
      <c r="C4" s="82"/>
      <c r="D4" s="82"/>
      <c r="E4" s="82" t="s">
        <v>10</v>
      </c>
      <c r="F4" s="82"/>
      <c r="G4" s="82"/>
      <c r="H4" s="82" t="s">
        <v>143</v>
      </c>
      <c r="I4" s="82"/>
      <c r="J4" s="82"/>
      <c r="K4" s="82" t="s">
        <v>144</v>
      </c>
      <c r="L4" s="82"/>
      <c r="M4" s="82"/>
    </row>
    <row r="6" customFormat="false" ht="15" hidden="false" customHeight="false" outlineLevel="0" collapsed="false">
      <c r="A6" s="17" t="s">
        <v>145</v>
      </c>
      <c r="B6" s="17"/>
      <c r="C6" s="17"/>
      <c r="D6" s="17"/>
      <c r="E6" s="17"/>
      <c r="F6" s="17"/>
      <c r="G6" s="17"/>
    </row>
    <row r="7" customFormat="false" ht="26.85" hidden="false" customHeight="false" outlineLevel="0" collapsed="false">
      <c r="A7" s="18" t="s">
        <v>76</v>
      </c>
      <c r="B7" s="18" t="s">
        <v>13</v>
      </c>
      <c r="C7" s="18" t="s">
        <v>140</v>
      </c>
      <c r="D7" s="18" t="s">
        <v>146</v>
      </c>
      <c r="E7" s="18" t="s">
        <v>147</v>
      </c>
      <c r="F7" s="18" t="s">
        <v>148</v>
      </c>
      <c r="G7" s="18" t="s">
        <v>149</v>
      </c>
    </row>
    <row r="8" customFormat="false" ht="15" hidden="false" customHeight="false" outlineLevel="0" collapsed="false">
      <c r="A8" s="23" t="s">
        <v>150</v>
      </c>
      <c r="B8" s="21" t="n">
        <v>3</v>
      </c>
      <c r="C8" s="76" t="n">
        <v>9.34743055555556</v>
      </c>
      <c r="D8" s="75" t="n">
        <v>0.666666666666667</v>
      </c>
      <c r="E8" s="22" t="n">
        <v>419.6</v>
      </c>
      <c r="F8" s="32" t="s">
        <v>151</v>
      </c>
      <c r="G8" s="83" t="s">
        <v>152</v>
      </c>
    </row>
    <row r="9" customFormat="false" ht="15" hidden="false" customHeight="false" outlineLevel="0" collapsed="false">
      <c r="A9" s="78" t="s">
        <v>86</v>
      </c>
      <c r="B9" s="27" t="n">
        <v>68415</v>
      </c>
      <c r="C9" s="80" t="n">
        <v>-10.4261788580585</v>
      </c>
      <c r="D9" s="79" t="n">
        <v>0.0877146824526785</v>
      </c>
      <c r="E9" s="28" t="n">
        <v>145.603564861507</v>
      </c>
      <c r="F9" s="30" t="s">
        <v>153</v>
      </c>
      <c r="G9" s="84" t="s">
        <v>154</v>
      </c>
    </row>
    <row r="10" customFormat="false" ht="15" hidden="false" customHeight="false" outlineLevel="0" collapsed="false">
      <c r="A10" s="23" t="s">
        <v>155</v>
      </c>
      <c r="B10" s="21" t="n">
        <v>8</v>
      </c>
      <c r="C10" s="76" t="n">
        <v>-10.5734765625</v>
      </c>
      <c r="D10" s="75" t="n">
        <v>0.125</v>
      </c>
      <c r="E10" s="22" t="n">
        <v>174.13875</v>
      </c>
      <c r="F10" s="33" t="s">
        <v>153</v>
      </c>
      <c r="G10" s="83" t="s">
        <v>154</v>
      </c>
    </row>
    <row r="11" customFormat="false" ht="15" hidden="false" customHeight="false" outlineLevel="0" collapsed="false">
      <c r="A11" s="78" t="s">
        <v>117</v>
      </c>
      <c r="B11" s="27" t="n">
        <v>388</v>
      </c>
      <c r="C11" s="80" t="n">
        <v>-10.6141259485968</v>
      </c>
      <c r="D11" s="79" t="n">
        <v>0.231958762886598</v>
      </c>
      <c r="E11" s="28" t="n">
        <v>123.901082474227</v>
      </c>
      <c r="F11" s="30" t="s">
        <v>153</v>
      </c>
      <c r="G11" s="84" t="s">
        <v>154</v>
      </c>
    </row>
    <row r="12" customFormat="false" ht="15" hidden="false" customHeight="false" outlineLevel="0" collapsed="false">
      <c r="A12" s="23" t="s">
        <v>156</v>
      </c>
      <c r="B12" s="21" t="n">
        <v>4185</v>
      </c>
      <c r="C12" s="76" t="n">
        <v>-11.7081573825169</v>
      </c>
      <c r="D12" s="75" t="n">
        <v>0.0845878136200716</v>
      </c>
      <c r="E12" s="22" t="n">
        <v>217.897070489845</v>
      </c>
      <c r="F12" s="33" t="s">
        <v>153</v>
      </c>
      <c r="G12" s="83" t="s">
        <v>154</v>
      </c>
    </row>
    <row r="13" customFormat="false" ht="15" hidden="false" customHeight="false" outlineLevel="0" collapsed="false">
      <c r="A13" s="78" t="s">
        <v>91</v>
      </c>
      <c r="B13" s="27" t="n">
        <v>549</v>
      </c>
      <c r="C13" s="80" t="n">
        <v>-11.9004222534237</v>
      </c>
      <c r="D13" s="79" t="n">
        <v>0.058287795992714</v>
      </c>
      <c r="E13" s="28" t="n">
        <v>543.846593806922</v>
      </c>
      <c r="F13" s="30" t="s">
        <v>153</v>
      </c>
      <c r="G13" s="84" t="s">
        <v>154</v>
      </c>
    </row>
    <row r="14" customFormat="false" ht="15" hidden="false" customHeight="false" outlineLevel="0" collapsed="false">
      <c r="A14" s="23" t="s">
        <v>133</v>
      </c>
      <c r="B14" s="21" t="n">
        <v>308</v>
      </c>
      <c r="C14" s="76" t="n">
        <v>-12.3871838924964</v>
      </c>
      <c r="D14" s="75" t="n">
        <v>0.0714285714285714</v>
      </c>
      <c r="E14" s="22" t="n">
        <v>190.454285714286</v>
      </c>
      <c r="F14" s="33" t="s">
        <v>153</v>
      </c>
      <c r="G14" s="83" t="s">
        <v>154</v>
      </c>
    </row>
    <row r="15" customFormat="false" ht="15" hidden="false" customHeight="false" outlineLevel="0" collapsed="false">
      <c r="A15" s="78" t="s">
        <v>157</v>
      </c>
      <c r="B15" s="27" t="n">
        <v>85</v>
      </c>
      <c r="C15" s="80" t="n">
        <v>-12.5799218409586</v>
      </c>
      <c r="D15" s="79" t="n">
        <v>0.0941176470588235</v>
      </c>
      <c r="E15" s="28" t="n">
        <v>280.025647058824</v>
      </c>
      <c r="F15" s="30" t="s">
        <v>153</v>
      </c>
      <c r="G15" s="84" t="s">
        <v>154</v>
      </c>
    </row>
    <row r="16" customFormat="false" ht="15" hidden="false" customHeight="false" outlineLevel="0" collapsed="false">
      <c r="A16" s="23" t="s">
        <v>158</v>
      </c>
      <c r="B16" s="21" t="n">
        <v>803</v>
      </c>
      <c r="C16" s="76" t="n">
        <v>-12.5868372221069</v>
      </c>
      <c r="D16" s="75" t="n">
        <v>0.0597758405977584</v>
      </c>
      <c r="E16" s="22" t="n">
        <v>140.207783312578</v>
      </c>
      <c r="F16" s="33" t="s">
        <v>153</v>
      </c>
      <c r="G16" s="83" t="s">
        <v>154</v>
      </c>
    </row>
    <row r="17" customFormat="false" ht="15" hidden="false" customHeight="false" outlineLevel="0" collapsed="false">
      <c r="A17" s="78" t="s">
        <v>107</v>
      </c>
      <c r="B17" s="27" t="n">
        <v>7647</v>
      </c>
      <c r="C17" s="80" t="n">
        <v>-12.6254168346701</v>
      </c>
      <c r="D17" s="79" t="n">
        <v>0.0563619720151693</v>
      </c>
      <c r="E17" s="28" t="n">
        <v>154.157979599843</v>
      </c>
      <c r="F17" s="30" t="s">
        <v>153</v>
      </c>
      <c r="G17" s="84" t="s">
        <v>154</v>
      </c>
    </row>
    <row r="18" customFormat="false" ht="15" hidden="false" customHeight="false" outlineLevel="0" collapsed="false">
      <c r="A18" s="23" t="s">
        <v>159</v>
      </c>
      <c r="B18" s="21" t="n">
        <v>51</v>
      </c>
      <c r="C18" s="76" t="n">
        <v>-12.8107237200436</v>
      </c>
      <c r="D18" s="75" t="n">
        <v>0.0980392156862745</v>
      </c>
      <c r="E18" s="22" t="n">
        <v>237.509215686275</v>
      </c>
      <c r="F18" s="33" t="s">
        <v>153</v>
      </c>
      <c r="G18" s="83" t="s">
        <v>154</v>
      </c>
    </row>
    <row r="19" customFormat="false" ht="15" hidden="false" customHeight="false" outlineLevel="0" collapsed="false">
      <c r="A19" s="78" t="s">
        <v>160</v>
      </c>
      <c r="B19" s="27" t="n">
        <v>451</v>
      </c>
      <c r="C19" s="80" t="n">
        <v>-13.3249287334729</v>
      </c>
      <c r="D19" s="79" t="n">
        <v>0.0399113082039911</v>
      </c>
      <c r="E19" s="28" t="n">
        <v>171.944611973393</v>
      </c>
      <c r="F19" s="30" t="s">
        <v>153</v>
      </c>
      <c r="G19" s="84" t="s">
        <v>154</v>
      </c>
    </row>
    <row r="20" customFormat="false" ht="15" hidden="false" customHeight="false" outlineLevel="0" collapsed="false">
      <c r="A20" s="23" t="s">
        <v>121</v>
      </c>
      <c r="B20" s="21" t="n">
        <v>3551</v>
      </c>
      <c r="C20" s="76" t="n">
        <v>-13.3484003202019</v>
      </c>
      <c r="D20" s="75" t="n">
        <v>0.0605463249788791</v>
      </c>
      <c r="E20" s="22" t="n">
        <v>201.737023373698</v>
      </c>
      <c r="F20" s="33" t="s">
        <v>153</v>
      </c>
      <c r="G20" s="83" t="s">
        <v>154</v>
      </c>
    </row>
    <row r="21" customFormat="false" ht="15" hidden="false" customHeight="false" outlineLevel="0" collapsed="false">
      <c r="A21" s="78" t="s">
        <v>128</v>
      </c>
      <c r="B21" s="27" t="n">
        <v>7429</v>
      </c>
      <c r="C21" s="80" t="n">
        <v>-13.3829355288708</v>
      </c>
      <c r="D21" s="79" t="n">
        <v>0.0652846951137434</v>
      </c>
      <c r="E21" s="28" t="n">
        <v>192.077684748957</v>
      </c>
      <c r="F21" s="30" t="s">
        <v>153</v>
      </c>
      <c r="G21" s="84" t="s">
        <v>154</v>
      </c>
    </row>
    <row r="22" customFormat="false" ht="15" hidden="false" customHeight="false" outlineLevel="0" collapsed="false">
      <c r="A22" s="23" t="s">
        <v>161</v>
      </c>
      <c r="B22" s="21" t="n">
        <v>11</v>
      </c>
      <c r="C22" s="76" t="n">
        <v>-14.3226736111111</v>
      </c>
      <c r="D22" s="75" t="n">
        <v>0</v>
      </c>
      <c r="E22" s="22" t="n">
        <v>273.702727272727</v>
      </c>
      <c r="F22" s="33" t="s">
        <v>153</v>
      </c>
      <c r="G22" s="83" t="s">
        <v>154</v>
      </c>
    </row>
    <row r="23" customFormat="false" ht="15" hidden="false" customHeight="false" outlineLevel="0" collapsed="false">
      <c r="A23" s="78" t="s">
        <v>162</v>
      </c>
      <c r="B23" s="27" t="n">
        <v>134</v>
      </c>
      <c r="C23" s="80" t="n">
        <v>-14.9071995059425</v>
      </c>
      <c r="D23" s="79" t="n">
        <v>0.044776119402985</v>
      </c>
      <c r="E23" s="28" t="n">
        <v>160.208507462687</v>
      </c>
      <c r="F23" s="30" t="s">
        <v>153</v>
      </c>
      <c r="G23" s="84" t="s">
        <v>154</v>
      </c>
    </row>
    <row r="24" customFormat="false" ht="15" hidden="false" customHeight="false" outlineLevel="0" collapsed="false">
      <c r="A24" s="23" t="s">
        <v>163</v>
      </c>
      <c r="B24" s="21" t="n">
        <v>403</v>
      </c>
      <c r="C24" s="76" t="n">
        <v>-15.0741272056796</v>
      </c>
      <c r="D24" s="75" t="n">
        <v>0.0446650124069478</v>
      </c>
      <c r="E24" s="22" t="n">
        <v>257.55888337469</v>
      </c>
      <c r="F24" s="33" t="s">
        <v>153</v>
      </c>
      <c r="G24" s="83" t="s">
        <v>154</v>
      </c>
    </row>
    <row r="25" customFormat="false" ht="15" hidden="false" customHeight="false" outlineLevel="0" collapsed="false">
      <c r="A25" s="78" t="s">
        <v>126</v>
      </c>
      <c r="B25" s="27" t="n">
        <v>1949</v>
      </c>
      <c r="C25" s="80" t="n">
        <v>-15.5414736723961</v>
      </c>
      <c r="D25" s="79" t="n">
        <v>0.043099025141098</v>
      </c>
      <c r="E25" s="28" t="n">
        <v>220.57</v>
      </c>
      <c r="F25" s="30" t="s">
        <v>153</v>
      </c>
      <c r="G25" s="84" t="s">
        <v>154</v>
      </c>
    </row>
    <row r="26" customFormat="false" ht="15" hidden="false" customHeight="false" outlineLevel="0" collapsed="false">
      <c r="A26" s="23" t="s">
        <v>164</v>
      </c>
      <c r="B26" s="21" t="n">
        <v>47</v>
      </c>
      <c r="C26" s="76" t="n">
        <v>-16.6413824862096</v>
      </c>
      <c r="D26" s="75" t="n">
        <v>0.0851063829787234</v>
      </c>
      <c r="E26" s="22" t="n">
        <v>203.436808510638</v>
      </c>
      <c r="F26" s="33" t="s">
        <v>153</v>
      </c>
      <c r="G26" s="83" t="s">
        <v>154</v>
      </c>
    </row>
    <row r="27" customFormat="false" ht="15" hidden="false" customHeight="false" outlineLevel="0" collapsed="false">
      <c r="A27" s="78" t="s">
        <v>165</v>
      </c>
      <c r="B27" s="27" t="n">
        <v>7</v>
      </c>
      <c r="C27" s="80" t="n">
        <v>-17.2041071428571</v>
      </c>
      <c r="D27" s="79" t="n">
        <v>0</v>
      </c>
      <c r="E27" s="28" t="n">
        <v>233.697142857143</v>
      </c>
      <c r="F27" s="30" t="s">
        <v>153</v>
      </c>
      <c r="G27" s="84" t="s">
        <v>154</v>
      </c>
    </row>
    <row r="28" customFormat="false" ht="15" hidden="false" customHeight="false" outlineLevel="0" collapsed="false">
      <c r="A28" s="23" t="s">
        <v>166</v>
      </c>
      <c r="B28" s="21" t="n">
        <v>33</v>
      </c>
      <c r="C28" s="76" t="n">
        <v>-18.601713664422</v>
      </c>
      <c r="D28" s="75" t="n">
        <v>0.0606060606060606</v>
      </c>
      <c r="E28" s="22" t="n">
        <v>515.776666666667</v>
      </c>
      <c r="F28" s="33" t="s">
        <v>153</v>
      </c>
      <c r="G28" s="83" t="s">
        <v>154</v>
      </c>
    </row>
    <row r="29" customFormat="false" ht="15" hidden="false" customHeight="false" outlineLevel="0" collapsed="false">
      <c r="A29" s="78" t="s">
        <v>167</v>
      </c>
      <c r="B29" s="27" t="n">
        <v>13</v>
      </c>
      <c r="C29" s="80" t="n">
        <v>-21.5376611467237</v>
      </c>
      <c r="D29" s="79" t="n">
        <v>0</v>
      </c>
      <c r="E29" s="28" t="n">
        <v>408.438461538462</v>
      </c>
      <c r="F29" s="30" t="s">
        <v>153</v>
      </c>
      <c r="G29" s="84" t="s">
        <v>154</v>
      </c>
    </row>
    <row r="37" customFormat="false" ht="15" hidden="false" customHeight="false" outlineLevel="0" collapsed="false">
      <c r="A37" s="73" t="s">
        <v>168</v>
      </c>
      <c r="B37" s="73"/>
      <c r="C37" s="73"/>
      <c r="D37" s="73"/>
      <c r="E37" s="73"/>
      <c r="F37" s="73"/>
      <c r="G37" s="73"/>
    </row>
    <row r="38" customFormat="false" ht="26.85" hidden="false" customHeight="false" outlineLevel="0" collapsed="false">
      <c r="A38" s="74" t="s">
        <v>169</v>
      </c>
      <c r="B38" s="74" t="s">
        <v>76</v>
      </c>
      <c r="C38" s="74" t="s">
        <v>140</v>
      </c>
      <c r="D38" s="74" t="s">
        <v>146</v>
      </c>
      <c r="E38" s="74" t="s">
        <v>13</v>
      </c>
      <c r="F38" s="74" t="s">
        <v>170</v>
      </c>
      <c r="G38" s="74" t="s">
        <v>171</v>
      </c>
    </row>
    <row r="39" customFormat="false" ht="15" hidden="false" customHeight="false" outlineLevel="0" collapsed="false">
      <c r="A39" s="23" t="s">
        <v>172</v>
      </c>
      <c r="B39" s="23" t="s">
        <v>126</v>
      </c>
      <c r="C39" s="76" t="n">
        <v>167.708414351852</v>
      </c>
      <c r="D39" s="75" t="n">
        <v>1</v>
      </c>
      <c r="E39" s="21" t="n">
        <v>1</v>
      </c>
      <c r="F39" s="21" t="n">
        <v>1</v>
      </c>
      <c r="G39" s="20" t="n">
        <v>2.7975</v>
      </c>
    </row>
    <row r="40" customFormat="false" ht="15" hidden="false" customHeight="false" outlineLevel="0" collapsed="false">
      <c r="A40" s="78" t="s">
        <v>173</v>
      </c>
      <c r="B40" s="78" t="s">
        <v>86</v>
      </c>
      <c r="C40" s="80" t="n">
        <v>41.7664583333333</v>
      </c>
      <c r="D40" s="79" t="n">
        <v>0.5</v>
      </c>
      <c r="E40" s="27" t="n">
        <v>2</v>
      </c>
      <c r="F40" s="27" t="n">
        <v>1</v>
      </c>
      <c r="G40" s="26" t="n">
        <v>3.30525</v>
      </c>
    </row>
    <row r="41" customFormat="false" ht="15" hidden="false" customHeight="false" outlineLevel="0" collapsed="false">
      <c r="A41" s="23" t="s">
        <v>174</v>
      </c>
      <c r="B41" s="23" t="s">
        <v>107</v>
      </c>
      <c r="C41" s="76" t="n">
        <v>35.7146990740741</v>
      </c>
      <c r="D41" s="75" t="n">
        <v>1</v>
      </c>
      <c r="E41" s="21" t="n">
        <v>1</v>
      </c>
      <c r="F41" s="21" t="n">
        <v>1</v>
      </c>
      <c r="G41" s="20" t="n">
        <v>54.198</v>
      </c>
    </row>
    <row r="42" customFormat="false" ht="15" hidden="false" customHeight="false" outlineLevel="0" collapsed="false">
      <c r="A42" s="78" t="s">
        <v>175</v>
      </c>
      <c r="B42" s="78" t="s">
        <v>91</v>
      </c>
      <c r="C42" s="80" t="n">
        <v>33.8181365740741</v>
      </c>
      <c r="D42" s="79" t="n">
        <v>0.333333333333333</v>
      </c>
      <c r="E42" s="27" t="n">
        <v>3</v>
      </c>
      <c r="F42" s="27" t="n">
        <v>1</v>
      </c>
      <c r="G42" s="26" t="n">
        <v>21.6128333333333</v>
      </c>
    </row>
    <row r="43" customFormat="false" ht="15" hidden="false" customHeight="false" outlineLevel="0" collapsed="false">
      <c r="A43" s="23" t="s">
        <v>176</v>
      </c>
      <c r="B43" s="23" t="s">
        <v>160</v>
      </c>
      <c r="C43" s="76" t="n">
        <v>33.8078587962963</v>
      </c>
      <c r="D43" s="75" t="n">
        <v>1</v>
      </c>
      <c r="E43" s="21" t="n">
        <v>1</v>
      </c>
      <c r="F43" s="21" t="n">
        <v>1</v>
      </c>
      <c r="G43" s="20" t="n">
        <v>3.2055</v>
      </c>
    </row>
    <row r="44" customFormat="false" ht="15" hidden="false" customHeight="false" outlineLevel="0" collapsed="false">
      <c r="A44" s="78" t="s">
        <v>177</v>
      </c>
      <c r="B44" s="78" t="s">
        <v>86</v>
      </c>
      <c r="C44" s="80" t="n">
        <v>31.8174768518519</v>
      </c>
      <c r="D44" s="79" t="n">
        <v>0.5</v>
      </c>
      <c r="E44" s="27" t="n">
        <v>2</v>
      </c>
      <c r="F44" s="27" t="n">
        <v>1</v>
      </c>
      <c r="G44" s="26" t="n">
        <v>6.32975</v>
      </c>
    </row>
    <row r="45" customFormat="false" ht="15" hidden="false" customHeight="false" outlineLevel="0" collapsed="false">
      <c r="A45" s="23" t="s">
        <v>178</v>
      </c>
      <c r="B45" s="23" t="s">
        <v>86</v>
      </c>
      <c r="C45" s="76" t="n">
        <v>27.6648640046296</v>
      </c>
      <c r="D45" s="75" t="n">
        <v>0.5</v>
      </c>
      <c r="E45" s="21" t="n">
        <v>4</v>
      </c>
      <c r="F45" s="21" t="n">
        <v>2</v>
      </c>
      <c r="G45" s="20" t="n">
        <v>8.86525</v>
      </c>
    </row>
    <row r="46" customFormat="false" ht="15" hidden="false" customHeight="false" outlineLevel="0" collapsed="false">
      <c r="A46" s="78" t="s">
        <v>179</v>
      </c>
      <c r="B46" s="78" t="s">
        <v>86</v>
      </c>
      <c r="C46" s="80" t="n">
        <v>24.2634201388889</v>
      </c>
      <c r="D46" s="79" t="n">
        <v>1</v>
      </c>
      <c r="E46" s="27" t="n">
        <v>2</v>
      </c>
      <c r="F46" s="27" t="n">
        <v>2</v>
      </c>
      <c r="G46" s="26" t="n">
        <v>7.8755</v>
      </c>
    </row>
    <row r="47" customFormat="false" ht="15" hidden="false" customHeight="false" outlineLevel="0" collapsed="false">
      <c r="A47" s="23" t="s">
        <v>180</v>
      </c>
      <c r="B47" s="23" t="s">
        <v>86</v>
      </c>
      <c r="C47" s="76" t="n">
        <v>24.2243672839506</v>
      </c>
      <c r="D47" s="75" t="n">
        <v>0.333333333333333</v>
      </c>
      <c r="E47" s="21" t="n">
        <v>3</v>
      </c>
      <c r="F47" s="21" t="n">
        <v>1</v>
      </c>
      <c r="G47" s="20" t="n">
        <v>26.8591666666667</v>
      </c>
    </row>
    <row r="48" customFormat="false" ht="15" hidden="false" customHeight="false" outlineLevel="0" collapsed="false">
      <c r="A48" s="78" t="s">
        <v>181</v>
      </c>
      <c r="B48" s="78" t="s">
        <v>86</v>
      </c>
      <c r="C48" s="80" t="n">
        <v>24.0276851851852</v>
      </c>
      <c r="D48" s="79" t="n">
        <v>1</v>
      </c>
      <c r="E48" s="27" t="n">
        <v>1</v>
      </c>
      <c r="F48" s="27" t="n">
        <v>1</v>
      </c>
      <c r="G48" s="26" t="n">
        <v>4.08</v>
      </c>
    </row>
    <row r="49" customFormat="false" ht="15" hidden="false" customHeight="false" outlineLevel="0" collapsed="false">
      <c r="A49" s="23" t="s">
        <v>182</v>
      </c>
      <c r="B49" s="23" t="s">
        <v>126</v>
      </c>
      <c r="C49" s="76" t="n">
        <v>22.5937268518519</v>
      </c>
      <c r="D49" s="75" t="n">
        <v>1</v>
      </c>
      <c r="E49" s="21" t="n">
        <v>1</v>
      </c>
      <c r="F49" s="21" t="n">
        <v>1</v>
      </c>
      <c r="G49" s="20" t="n">
        <v>11.974</v>
      </c>
    </row>
    <row r="50" customFormat="false" ht="15" hidden="false" customHeight="false" outlineLevel="0" collapsed="false">
      <c r="A50" s="78" t="s">
        <v>183</v>
      </c>
      <c r="B50" s="78" t="s">
        <v>86</v>
      </c>
      <c r="C50" s="80" t="n">
        <v>18.5735740740741</v>
      </c>
      <c r="D50" s="79" t="n">
        <v>0.6</v>
      </c>
      <c r="E50" s="27" t="n">
        <v>5</v>
      </c>
      <c r="F50" s="27" t="n">
        <v>3</v>
      </c>
      <c r="G50" s="26" t="n">
        <v>50.787</v>
      </c>
    </row>
    <row r="51" customFormat="false" ht="15" hidden="false" customHeight="false" outlineLevel="0" collapsed="false">
      <c r="A51" s="23" t="s">
        <v>184</v>
      </c>
      <c r="B51" s="23" t="s">
        <v>107</v>
      </c>
      <c r="C51" s="76" t="n">
        <v>17.7075347222222</v>
      </c>
      <c r="D51" s="75" t="n">
        <v>1</v>
      </c>
      <c r="E51" s="21" t="n">
        <v>1</v>
      </c>
      <c r="F51" s="21" t="n">
        <v>1</v>
      </c>
      <c r="G51" s="20" t="n">
        <v>1.349</v>
      </c>
    </row>
    <row r="52" customFormat="false" ht="15" hidden="false" customHeight="false" outlineLevel="0" collapsed="false">
      <c r="A52" s="78" t="s">
        <v>185</v>
      </c>
      <c r="B52" s="78" t="s">
        <v>158</v>
      </c>
      <c r="C52" s="80" t="n">
        <v>17.6437731481482</v>
      </c>
      <c r="D52" s="79" t="n">
        <v>1</v>
      </c>
      <c r="E52" s="27" t="n">
        <v>1</v>
      </c>
      <c r="F52" s="27" t="n">
        <v>1</v>
      </c>
      <c r="G52" s="26" t="n">
        <v>13.212</v>
      </c>
    </row>
    <row r="53" customFormat="false" ht="15" hidden="false" customHeight="false" outlineLevel="0" collapsed="false">
      <c r="A53" s="23" t="s">
        <v>186</v>
      </c>
      <c r="B53" s="23" t="s">
        <v>86</v>
      </c>
      <c r="C53" s="76" t="n">
        <v>17.23984375</v>
      </c>
      <c r="D53" s="75" t="n">
        <v>0.5</v>
      </c>
      <c r="E53" s="21" t="n">
        <v>2</v>
      </c>
      <c r="F53" s="21" t="n">
        <v>1</v>
      </c>
      <c r="G53" s="20" t="n">
        <v>4.75325</v>
      </c>
    </row>
    <row r="54" customFormat="false" ht="15" hidden="false" customHeight="false" outlineLevel="0" collapsed="false">
      <c r="A54" s="78" t="s">
        <v>187</v>
      </c>
      <c r="B54" s="78" t="s">
        <v>156</v>
      </c>
      <c r="C54" s="80" t="n">
        <v>16.8887065972222</v>
      </c>
      <c r="D54" s="79" t="n">
        <v>0.25</v>
      </c>
      <c r="E54" s="27" t="n">
        <v>4</v>
      </c>
      <c r="F54" s="27" t="n">
        <v>1</v>
      </c>
      <c r="G54" s="26" t="n">
        <v>8.747125</v>
      </c>
    </row>
    <row r="55" customFormat="false" ht="15" hidden="false" customHeight="false" outlineLevel="0" collapsed="false">
      <c r="A55" s="23" t="s">
        <v>188</v>
      </c>
      <c r="B55" s="23" t="s">
        <v>86</v>
      </c>
      <c r="C55" s="76" t="n">
        <v>16.8185532407407</v>
      </c>
      <c r="D55" s="75" t="n">
        <v>1</v>
      </c>
      <c r="E55" s="21" t="n">
        <v>1</v>
      </c>
      <c r="F55" s="21" t="n">
        <v>1</v>
      </c>
      <c r="G55" s="20" t="n">
        <v>41.747</v>
      </c>
    </row>
    <row r="56" customFormat="false" ht="15" hidden="false" customHeight="false" outlineLevel="0" collapsed="false">
      <c r="A56" s="78" t="s">
        <v>189</v>
      </c>
      <c r="B56" s="78" t="s">
        <v>86</v>
      </c>
      <c r="C56" s="80" t="n">
        <v>16.7487962962963</v>
      </c>
      <c r="D56" s="79" t="n">
        <v>1</v>
      </c>
      <c r="E56" s="27" t="n">
        <v>2</v>
      </c>
      <c r="F56" s="27" t="n">
        <v>2</v>
      </c>
      <c r="G56" s="26" t="n">
        <v>33.549</v>
      </c>
    </row>
    <row r="57" customFormat="false" ht="15" hidden="false" customHeight="false" outlineLevel="0" collapsed="false">
      <c r="A57" s="23" t="s">
        <v>190</v>
      </c>
      <c r="B57" s="23" t="s">
        <v>156</v>
      </c>
      <c r="C57" s="76" t="n">
        <v>16.6969444444444</v>
      </c>
      <c r="D57" s="75" t="n">
        <v>1</v>
      </c>
      <c r="E57" s="21" t="n">
        <v>1</v>
      </c>
      <c r="F57" s="21" t="n">
        <v>1</v>
      </c>
      <c r="G57" s="20" t="n">
        <v>6.287</v>
      </c>
    </row>
    <row r="58" customFormat="false" ht="15" hidden="false" customHeight="false" outlineLevel="0" collapsed="false">
      <c r="A58" s="78" t="s">
        <v>191</v>
      </c>
      <c r="B58" s="78" t="s">
        <v>86</v>
      </c>
      <c r="C58" s="80" t="n">
        <v>16.650462962963</v>
      </c>
      <c r="D58" s="79" t="n">
        <v>1</v>
      </c>
      <c r="E58" s="27" t="n">
        <v>1</v>
      </c>
      <c r="F58" s="27" t="n">
        <v>1</v>
      </c>
      <c r="G58" s="26" t="n">
        <v>75.593</v>
      </c>
    </row>
  </sheetData>
  <mergeCells count="11">
    <mergeCell ref="A1:L1"/>
    <mergeCell ref="B3:D3"/>
    <mergeCell ref="E3:G3"/>
    <mergeCell ref="H3:J3"/>
    <mergeCell ref="K3:M3"/>
    <mergeCell ref="B4:D4"/>
    <mergeCell ref="E4:G4"/>
    <mergeCell ref="H4:J4"/>
    <mergeCell ref="K4:M4"/>
    <mergeCell ref="A6:G6"/>
    <mergeCell ref="A37:G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2"/>
    <col collapsed="false" customWidth="true" hidden="false" outlineLevel="0" max="8" min="8" style="0" width="6"/>
    <col collapsed="false" customWidth="true" hidden="false" outlineLevel="0" max="9" min="9" style="0" width="16"/>
    <col collapsed="false" customWidth="true" hidden="false" outlineLevel="0" max="10" min="10" style="0" width="10"/>
  </cols>
  <sheetData>
    <row r="1" customFormat="false" ht="39.75" hidden="false" customHeight="true" outlineLevel="0" collapsed="false">
      <c r="A1" s="8" t="s">
        <v>192</v>
      </c>
      <c r="B1" s="8"/>
      <c r="C1" s="8"/>
      <c r="D1" s="8"/>
      <c r="E1" s="8"/>
      <c r="F1" s="8"/>
      <c r="G1" s="8"/>
      <c r="H1" s="8"/>
      <c r="I1" s="8"/>
      <c r="J1" s="8"/>
    </row>
    <row r="3" customFormat="false" ht="15" hidden="false" customHeight="true" outlineLevel="0" collapsed="false">
      <c r="B3" s="5" t="s">
        <v>193</v>
      </c>
      <c r="C3" s="5"/>
      <c r="D3" s="5"/>
      <c r="E3" s="5" t="s">
        <v>194</v>
      </c>
      <c r="F3" s="5"/>
      <c r="G3" s="5"/>
      <c r="H3" s="5" t="s">
        <v>195</v>
      </c>
      <c r="I3" s="5"/>
      <c r="J3" s="5"/>
    </row>
    <row r="4" customFormat="false" ht="17.35" hidden="false" customHeight="true" outlineLevel="0" collapsed="false">
      <c r="B4" s="85" t="s">
        <v>196</v>
      </c>
      <c r="C4" s="85"/>
      <c r="D4" s="85"/>
      <c r="E4" s="85" t="s">
        <v>11</v>
      </c>
      <c r="F4" s="85"/>
      <c r="G4" s="85"/>
      <c r="H4" s="85" t="s">
        <v>21</v>
      </c>
      <c r="I4" s="85"/>
      <c r="J4" s="85"/>
    </row>
    <row r="6" customFormat="false" ht="15" hidden="false" customHeight="false" outlineLevel="0" collapsed="false">
      <c r="A6" s="17" t="s">
        <v>197</v>
      </c>
      <c r="B6" s="17"/>
      <c r="C6" s="17"/>
      <c r="D6" s="17"/>
      <c r="E6" s="17"/>
      <c r="F6" s="17"/>
      <c r="H6" s="86" t="s">
        <v>198</v>
      </c>
      <c r="I6" s="86"/>
      <c r="J6" s="86"/>
    </row>
    <row r="7" customFormat="false" ht="26.85" hidden="false" customHeight="false" outlineLevel="0" collapsed="false">
      <c r="A7" s="18" t="s">
        <v>23</v>
      </c>
      <c r="B7" s="18" t="s">
        <v>24</v>
      </c>
      <c r="C7" s="18" t="s">
        <v>199</v>
      </c>
      <c r="D7" s="18" t="s">
        <v>200</v>
      </c>
      <c r="E7" s="18" t="s">
        <v>201</v>
      </c>
      <c r="F7" s="18" t="s">
        <v>202</v>
      </c>
      <c r="H7" s="18" t="s">
        <v>74</v>
      </c>
      <c r="I7" s="18" t="s">
        <v>24</v>
      </c>
      <c r="J7" s="18" t="s">
        <v>203</v>
      </c>
    </row>
    <row r="8" customFormat="false" ht="15" hidden="false" customHeight="false" outlineLevel="0" collapsed="false">
      <c r="A8" s="23" t="s">
        <v>31</v>
      </c>
      <c r="B8" s="20" t="n">
        <v>143.46</v>
      </c>
      <c r="C8" s="87" t="n">
        <v>0.00021396352881874</v>
      </c>
      <c r="D8" s="88" t="n">
        <v>-670344.640434783</v>
      </c>
      <c r="E8" s="20" t="n">
        <v>143.46</v>
      </c>
      <c r="F8" s="32" t="s">
        <v>204</v>
      </c>
      <c r="H8" s="23" t="n">
        <v>1</v>
      </c>
      <c r="I8" s="20" t="n">
        <v>247937.8</v>
      </c>
      <c r="J8" s="75" t="n">
        <v>0.0160776967418747</v>
      </c>
    </row>
    <row r="9" customFormat="false" ht="15" hidden="false" customHeight="false" outlineLevel="0" collapsed="false">
      <c r="A9" s="78" t="s">
        <v>34</v>
      </c>
      <c r="B9" s="26" t="n">
        <v>46566.71</v>
      </c>
      <c r="C9" s="89" t="n">
        <v>0.0694519559255466</v>
      </c>
      <c r="D9" s="90" t="n">
        <v>-623921.390434783</v>
      </c>
      <c r="E9" s="26" t="n">
        <v>23355.085</v>
      </c>
      <c r="F9" s="34" t="s">
        <v>204</v>
      </c>
      <c r="H9" s="78" t="n">
        <v>2</v>
      </c>
      <c r="I9" s="26" t="n">
        <v>235963.73</v>
      </c>
      <c r="J9" s="79" t="n">
        <v>0.015301229957762</v>
      </c>
    </row>
    <row r="10" customFormat="false" ht="15" hidden="false" customHeight="false" outlineLevel="0" collapsed="false">
      <c r="A10" s="23" t="s">
        <v>36</v>
      </c>
      <c r="B10" s="20" t="n">
        <v>19.62</v>
      </c>
      <c r="C10" s="87" t="n">
        <v>2.92622642926508E-005</v>
      </c>
      <c r="D10" s="88" t="n">
        <v>-670468.480434783</v>
      </c>
      <c r="E10" s="20" t="n">
        <v>15576.5966666667</v>
      </c>
      <c r="F10" s="32" t="s">
        <v>204</v>
      </c>
      <c r="H10" s="23" t="n">
        <v>3</v>
      </c>
      <c r="I10" s="20" t="n">
        <v>233557.9</v>
      </c>
      <c r="J10" s="75" t="n">
        <v>0.0151452222608618</v>
      </c>
    </row>
    <row r="11" customFormat="false" ht="15" hidden="false" customHeight="false" outlineLevel="0" collapsed="false">
      <c r="A11" s="78" t="s">
        <v>38</v>
      </c>
      <c r="B11" s="26" t="n">
        <v>127545.67</v>
      </c>
      <c r="C11" s="89" t="n">
        <v>0.190228088935944</v>
      </c>
      <c r="D11" s="90" t="n">
        <v>-542942.430434783</v>
      </c>
      <c r="E11" s="26" t="n">
        <v>58044</v>
      </c>
      <c r="F11" s="34" t="s">
        <v>204</v>
      </c>
      <c r="H11" s="78" t="n">
        <v>4</v>
      </c>
      <c r="I11" s="26" t="n">
        <v>230797.03</v>
      </c>
      <c r="J11" s="79" t="n">
        <v>0.0149661917515819</v>
      </c>
    </row>
    <row r="12" customFormat="false" ht="15" hidden="false" customHeight="false" outlineLevel="0" collapsed="false">
      <c r="A12" s="23" t="s">
        <v>39</v>
      </c>
      <c r="B12" s="20" t="n">
        <v>271298.65</v>
      </c>
      <c r="C12" s="87" t="n">
        <v>0.404628583004045</v>
      </c>
      <c r="D12" s="88" t="n">
        <v>-399189.450434783</v>
      </c>
      <c r="E12" s="20" t="n">
        <v>132954.646666667</v>
      </c>
      <c r="F12" s="32" t="s">
        <v>204</v>
      </c>
      <c r="H12" s="23" t="n">
        <v>5</v>
      </c>
      <c r="I12" s="20" t="n">
        <v>200044.11</v>
      </c>
      <c r="J12" s="75" t="n">
        <v>0.0129719975557508</v>
      </c>
    </row>
    <row r="13" customFormat="false" ht="15" hidden="false" customHeight="false" outlineLevel="0" collapsed="false">
      <c r="A13" s="78" t="s">
        <v>40</v>
      </c>
      <c r="B13" s="26" t="n">
        <v>414369.39</v>
      </c>
      <c r="C13" s="89" t="n">
        <v>0.61801154969238</v>
      </c>
      <c r="D13" s="90" t="n">
        <v>-256118.710434783</v>
      </c>
      <c r="E13" s="26" t="n">
        <v>271071.236666667</v>
      </c>
      <c r="F13" s="91" t="s">
        <v>205</v>
      </c>
      <c r="H13" s="78" t="n">
        <v>6</v>
      </c>
      <c r="I13" s="26" t="n">
        <v>185870.2</v>
      </c>
      <c r="J13" s="79" t="n">
        <v>0.0120528806376099</v>
      </c>
    </row>
    <row r="14" customFormat="false" ht="15" hidden="false" customHeight="false" outlineLevel="0" collapsed="false">
      <c r="A14" s="23" t="s">
        <v>41</v>
      </c>
      <c r="B14" s="20" t="n">
        <v>390952.18</v>
      </c>
      <c r="C14" s="87" t="n">
        <v>0.583085933585524</v>
      </c>
      <c r="D14" s="88" t="n">
        <v>-279535.920434783</v>
      </c>
      <c r="E14" s="20" t="n">
        <v>358873.406666667</v>
      </c>
      <c r="F14" s="24" t="s">
        <v>205</v>
      </c>
      <c r="H14" s="23" t="n">
        <v>7</v>
      </c>
      <c r="I14" s="20" t="n">
        <v>172783.31</v>
      </c>
      <c r="J14" s="75" t="n">
        <v>0.011204252277133</v>
      </c>
    </row>
    <row r="15" customFormat="false" ht="15" hidden="false" customHeight="false" outlineLevel="0" collapsed="false">
      <c r="A15" s="78" t="s">
        <v>42</v>
      </c>
      <c r="B15" s="26" t="n">
        <v>566872.73</v>
      </c>
      <c r="C15" s="89" t="n">
        <v>0.845462775002879</v>
      </c>
      <c r="D15" s="90" t="n">
        <v>-103615.370434783</v>
      </c>
      <c r="E15" s="26" t="n">
        <v>457398.1</v>
      </c>
      <c r="F15" s="91" t="s">
        <v>205</v>
      </c>
      <c r="H15" s="78" t="n">
        <v>8</v>
      </c>
      <c r="I15" s="26" t="n">
        <v>171567.13</v>
      </c>
      <c r="J15" s="79" t="n">
        <v>0.0111253882506572</v>
      </c>
    </row>
    <row r="16" customFormat="false" ht="15" hidden="false" customHeight="false" outlineLevel="0" collapsed="false">
      <c r="A16" s="23" t="s">
        <v>43</v>
      </c>
      <c r="B16" s="20" t="n">
        <v>490225.6</v>
      </c>
      <c r="C16" s="87" t="n">
        <v>0.731147353222391</v>
      </c>
      <c r="D16" s="88" t="n">
        <v>-180262.500434783</v>
      </c>
      <c r="E16" s="20" t="n">
        <v>482683.503333333</v>
      </c>
      <c r="F16" s="24" t="s">
        <v>205</v>
      </c>
      <c r="H16" s="23" t="n">
        <v>9</v>
      </c>
      <c r="I16" s="20" t="n">
        <v>161293.48</v>
      </c>
      <c r="J16" s="75" t="n">
        <v>0.0104591863680392</v>
      </c>
    </row>
    <row r="17" customFormat="false" ht="15" hidden="false" customHeight="false" outlineLevel="0" collapsed="false">
      <c r="A17" s="78" t="s">
        <v>44</v>
      </c>
      <c r="B17" s="26" t="n">
        <v>566403.93</v>
      </c>
      <c r="C17" s="89" t="n">
        <v>0.844763582877476</v>
      </c>
      <c r="D17" s="90" t="n">
        <v>-104084.170434783</v>
      </c>
      <c r="E17" s="26" t="n">
        <v>541167.42</v>
      </c>
      <c r="F17" s="91" t="s">
        <v>205</v>
      </c>
      <c r="H17" s="78" t="n">
        <v>10</v>
      </c>
      <c r="I17" s="26" t="n">
        <v>156734.26</v>
      </c>
      <c r="J17" s="79" t="n">
        <v>0.0101635406192285</v>
      </c>
    </row>
    <row r="18" customFormat="false" ht="15" hidden="false" customHeight="false" outlineLevel="0" collapsed="false">
      <c r="A18" s="23" t="s">
        <v>45</v>
      </c>
      <c r="B18" s="20" t="n">
        <v>646000.61</v>
      </c>
      <c r="C18" s="87" t="n">
        <v>0.963478113304467</v>
      </c>
      <c r="D18" s="88" t="n">
        <v>-24487.4904347826</v>
      </c>
      <c r="E18" s="20" t="n">
        <v>567543.38</v>
      </c>
      <c r="F18" s="24" t="s">
        <v>205</v>
      </c>
    </row>
    <row r="19" customFormat="false" ht="15" hidden="false" customHeight="false" outlineLevel="0" collapsed="false">
      <c r="A19" s="78" t="s">
        <v>46</v>
      </c>
      <c r="B19" s="26" t="n">
        <v>701169.99</v>
      </c>
      <c r="C19" s="89" t="n">
        <v>1.0457605281068</v>
      </c>
      <c r="D19" s="90" t="n">
        <v>30681.8895652174</v>
      </c>
      <c r="E19" s="26" t="n">
        <v>637858.176666667</v>
      </c>
      <c r="F19" s="91" t="s">
        <v>205</v>
      </c>
    </row>
    <row r="20" customFormat="false" ht="15" hidden="false" customHeight="false" outlineLevel="0" collapsed="false">
      <c r="A20" s="23" t="s">
        <v>47</v>
      </c>
      <c r="B20" s="20" t="n">
        <v>751140.27</v>
      </c>
      <c r="C20" s="87" t="n">
        <v>1.12028874116173</v>
      </c>
      <c r="D20" s="88" t="n">
        <v>80652.1695652175</v>
      </c>
      <c r="E20" s="20" t="n">
        <v>699436.956666667</v>
      </c>
      <c r="F20" s="24" t="s">
        <v>205</v>
      </c>
    </row>
    <row r="21" customFormat="false" ht="15" hidden="false" customHeight="false" outlineLevel="0" collapsed="false">
      <c r="A21" s="78" t="s">
        <v>48</v>
      </c>
      <c r="B21" s="26" t="n">
        <v>1153393.22</v>
      </c>
      <c r="C21" s="89" t="n">
        <v>1.72022921697205</v>
      </c>
      <c r="D21" s="90" t="n">
        <v>482905.119565217</v>
      </c>
      <c r="E21" s="26" t="n">
        <v>868567.826666667</v>
      </c>
      <c r="F21" s="30" t="s">
        <v>206</v>
      </c>
    </row>
    <row r="22" customFormat="false" ht="15" hidden="false" customHeight="false" outlineLevel="0" collapsed="false">
      <c r="A22" s="23" t="s">
        <v>49</v>
      </c>
      <c r="B22" s="20" t="n">
        <v>843199.17</v>
      </c>
      <c r="C22" s="87" t="n">
        <v>1.25759005932129</v>
      </c>
      <c r="D22" s="88" t="n">
        <v>172711.069565218</v>
      </c>
      <c r="E22" s="20" t="n">
        <v>915910.886666667</v>
      </c>
      <c r="F22" s="24" t="s">
        <v>205</v>
      </c>
    </row>
    <row r="23" customFormat="false" ht="15" hidden="false" customHeight="false" outlineLevel="0" collapsed="false">
      <c r="A23" s="78" t="s">
        <v>50</v>
      </c>
      <c r="B23" s="26" t="n">
        <v>1078606.86</v>
      </c>
      <c r="C23" s="89" t="n">
        <v>1.60868904205842</v>
      </c>
      <c r="D23" s="90" t="n">
        <v>408118.759565218</v>
      </c>
      <c r="E23" s="26" t="n">
        <v>1025066.41666667</v>
      </c>
      <c r="F23" s="30" t="s">
        <v>206</v>
      </c>
    </row>
    <row r="24" customFormat="false" ht="15" hidden="false" customHeight="false" outlineLevel="0" collapsed="false">
      <c r="A24" s="23" t="s">
        <v>51</v>
      </c>
      <c r="B24" s="20" t="n">
        <v>966510.88</v>
      </c>
      <c r="C24" s="87" t="n">
        <v>1.44150340531511</v>
      </c>
      <c r="D24" s="88" t="n">
        <v>296022.779565217</v>
      </c>
      <c r="E24" s="20" t="n">
        <v>962772.303333333</v>
      </c>
      <c r="F24" s="24" t="s">
        <v>205</v>
      </c>
    </row>
    <row r="25" customFormat="false" ht="15" hidden="false" customHeight="false" outlineLevel="0" collapsed="false">
      <c r="A25" s="78" t="s">
        <v>52</v>
      </c>
      <c r="B25" s="26" t="n">
        <v>1120678</v>
      </c>
      <c r="C25" s="89" t="n">
        <v>1.67143607660343</v>
      </c>
      <c r="D25" s="90" t="n">
        <v>450189.899565217</v>
      </c>
      <c r="E25" s="26" t="n">
        <v>1055265.24666667</v>
      </c>
      <c r="F25" s="30" t="s">
        <v>206</v>
      </c>
    </row>
    <row r="26" customFormat="false" ht="15" hidden="false" customHeight="false" outlineLevel="0" collapsed="false">
      <c r="A26" s="23" t="s">
        <v>53</v>
      </c>
      <c r="B26" s="20" t="n">
        <v>1132933.95</v>
      </c>
      <c r="C26" s="87" t="n">
        <v>1.68971522278373</v>
      </c>
      <c r="D26" s="88" t="n">
        <v>462445.849565217</v>
      </c>
      <c r="E26" s="20" t="n">
        <v>1073374.27666667</v>
      </c>
      <c r="F26" s="33" t="s">
        <v>206</v>
      </c>
    </row>
    <row r="27" customFormat="false" ht="15" hidden="false" customHeight="false" outlineLevel="0" collapsed="false">
      <c r="A27" s="78" t="s">
        <v>54</v>
      </c>
      <c r="B27" s="26" t="n">
        <v>1128836.69</v>
      </c>
      <c r="C27" s="89" t="n">
        <v>1.68360436116316</v>
      </c>
      <c r="D27" s="90" t="n">
        <v>458348.589565217</v>
      </c>
      <c r="E27" s="26" t="n">
        <v>1127482.88</v>
      </c>
      <c r="F27" s="30" t="s">
        <v>206</v>
      </c>
    </row>
    <row r="28" customFormat="false" ht="15" hidden="false" customHeight="false" outlineLevel="0" collapsed="false">
      <c r="A28" s="23" t="s">
        <v>55</v>
      </c>
      <c r="B28" s="20" t="n">
        <v>1011561.35</v>
      </c>
      <c r="C28" s="87" t="n">
        <v>1.50869396391084</v>
      </c>
      <c r="D28" s="88" t="n">
        <v>341073.249565217</v>
      </c>
      <c r="E28" s="20" t="n">
        <v>1091110.66333333</v>
      </c>
      <c r="F28" s="24" t="s">
        <v>205</v>
      </c>
    </row>
    <row r="29" customFormat="false" ht="15" hidden="false" customHeight="false" outlineLevel="0" collapsed="false">
      <c r="A29" s="78" t="s">
        <v>56</v>
      </c>
      <c r="B29" s="26" t="n">
        <v>1027383.1</v>
      </c>
      <c r="C29" s="89" t="n">
        <v>1.53229132528047</v>
      </c>
      <c r="D29" s="90" t="n">
        <v>356894.999565217</v>
      </c>
      <c r="E29" s="26" t="n">
        <v>1055927.04666667</v>
      </c>
      <c r="F29" s="91" t="s">
        <v>205</v>
      </c>
    </row>
    <row r="30" customFormat="false" ht="15" hidden="false" customHeight="false" outlineLevel="0" collapsed="false">
      <c r="A30" s="23" t="s">
        <v>57</v>
      </c>
      <c r="B30" s="20" t="n">
        <v>985414.28</v>
      </c>
      <c r="C30" s="87" t="n">
        <v>1.46969689597922</v>
      </c>
      <c r="D30" s="88" t="n">
        <v>314926.179565218</v>
      </c>
      <c r="E30" s="20" t="n">
        <v>1008119.57666667</v>
      </c>
      <c r="F30" s="24" t="s">
        <v>205</v>
      </c>
    </row>
    <row r="32" customFormat="false" ht="15" hidden="false" customHeight="false" outlineLevel="0" collapsed="false">
      <c r="A32" s="92" t="s">
        <v>207</v>
      </c>
      <c r="B32" s="93" t="n">
        <v>670488.100434783</v>
      </c>
    </row>
    <row r="33" customFormat="false" ht="15" hidden="false" customHeight="false" outlineLevel="0" collapsed="false">
      <c r="A33" s="92" t="s">
        <v>208</v>
      </c>
      <c r="B33" s="93" t="n">
        <v>395133.152404452</v>
      </c>
    </row>
    <row r="34" customFormat="false" ht="15" hidden="false" customHeight="false" outlineLevel="0" collapsed="false">
      <c r="A34" s="92" t="s">
        <v>209</v>
      </c>
      <c r="B34" s="94" t="n">
        <v>0.589321648136969</v>
      </c>
    </row>
    <row r="35" customFormat="false" ht="15" hidden="false" customHeight="false" outlineLevel="0" collapsed="false">
      <c r="A35" s="92" t="s">
        <v>210</v>
      </c>
      <c r="B35" s="95" t="n">
        <v>0.210896951035018</v>
      </c>
    </row>
  </sheetData>
  <mergeCells count="9">
    <mergeCell ref="A1:J1"/>
    <mergeCell ref="B3:D3"/>
    <mergeCell ref="E3:G3"/>
    <mergeCell ref="H3:J3"/>
    <mergeCell ref="B4:D4"/>
    <mergeCell ref="E4:G4"/>
    <mergeCell ref="H4:J4"/>
    <mergeCell ref="A6:F6"/>
    <mergeCell ref="H6:J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8"/>
    <col collapsed="false" customWidth="true" hidden="false" outlineLevel="0" max="3" min="3" style="0" width="7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9" min="8" style="0" width="14"/>
    <col collapsed="false" customWidth="true" hidden="false" outlineLevel="0" max="10" min="10" style="0" width="28"/>
    <col collapsed="false" customWidth="true" hidden="false" outlineLevel="0" max="11" min="11" style="0" width="26"/>
  </cols>
  <sheetData>
    <row r="1" customFormat="false" ht="39.75" hidden="false" customHeight="true" outlineLevel="0" collapsed="false">
      <c r="A1" s="8" t="s">
        <v>211</v>
      </c>
      <c r="B1" s="8"/>
      <c r="C1" s="8"/>
      <c r="D1" s="8"/>
      <c r="E1" s="8"/>
      <c r="F1" s="8"/>
      <c r="G1" s="8"/>
      <c r="H1" s="8"/>
      <c r="I1" s="8"/>
      <c r="J1" s="8"/>
      <c r="K1" s="8"/>
    </row>
    <row r="3" customFormat="false" ht="15" hidden="false" customHeight="true" outlineLevel="0" collapsed="false">
      <c r="A3" s="96" t="s">
        <v>212</v>
      </c>
      <c r="B3" s="96"/>
      <c r="C3" s="96"/>
      <c r="D3" s="96"/>
      <c r="E3" s="96"/>
      <c r="F3" s="96"/>
      <c r="G3" s="96"/>
      <c r="H3" s="96"/>
      <c r="I3" s="96"/>
      <c r="J3" s="96"/>
      <c r="K3" s="96"/>
    </row>
    <row r="4" customFormat="false" ht="15" hidden="false" customHeight="false" outlineLevel="0" collapsed="false">
      <c r="A4" s="96"/>
      <c r="B4" s="96"/>
      <c r="C4" s="96"/>
      <c r="D4" s="96"/>
      <c r="E4" s="96"/>
      <c r="F4" s="96"/>
      <c r="G4" s="96"/>
      <c r="H4" s="96"/>
      <c r="I4" s="96"/>
      <c r="J4" s="96"/>
      <c r="K4" s="96"/>
    </row>
    <row r="6" customFormat="false" ht="15" hidden="false" customHeight="false" outlineLevel="0" collapsed="false">
      <c r="A6" s="97" t="s">
        <v>213</v>
      </c>
      <c r="B6" s="98" t="s">
        <v>214</v>
      </c>
      <c r="D6" s="99" t="s">
        <v>215</v>
      </c>
      <c r="E6" s="98" t="s">
        <v>216</v>
      </c>
      <c r="G6" s="100" t="s">
        <v>217</v>
      </c>
      <c r="H6" s="98" t="s">
        <v>218</v>
      </c>
      <c r="J6" s="101" t="s">
        <v>219</v>
      </c>
      <c r="K6" s="98" t="s">
        <v>220</v>
      </c>
    </row>
    <row r="8" customFormat="false" ht="26.85" hidden="false" customHeight="false" outlineLevel="0" collapsed="false">
      <c r="A8" s="18" t="s">
        <v>221</v>
      </c>
      <c r="B8" s="18" t="s">
        <v>169</v>
      </c>
      <c r="C8" s="18" t="s">
        <v>76</v>
      </c>
      <c r="D8" s="18" t="s">
        <v>222</v>
      </c>
      <c r="E8" s="18" t="s">
        <v>223</v>
      </c>
      <c r="F8" s="18" t="s">
        <v>79</v>
      </c>
      <c r="G8" s="18" t="s">
        <v>146</v>
      </c>
      <c r="H8" s="18" t="s">
        <v>81</v>
      </c>
      <c r="I8" s="18" t="s">
        <v>67</v>
      </c>
      <c r="J8" s="18" t="s">
        <v>224</v>
      </c>
      <c r="K8" s="18" t="s">
        <v>65</v>
      </c>
    </row>
    <row r="9" customFormat="false" ht="15" hidden="false" customHeight="false" outlineLevel="0" collapsed="false">
      <c r="A9" s="102" t="n">
        <v>1</v>
      </c>
      <c r="B9" s="102" t="s">
        <v>225</v>
      </c>
      <c r="C9" s="102" t="s">
        <v>121</v>
      </c>
      <c r="D9" s="103" t="n">
        <v>67.9</v>
      </c>
      <c r="E9" s="104" t="s">
        <v>226</v>
      </c>
      <c r="F9" s="105" t="n">
        <v>0.118093174431203</v>
      </c>
      <c r="G9" s="105" t="n">
        <v>1</v>
      </c>
      <c r="H9" s="106" t="n">
        <v>1.79557704707597E-006</v>
      </c>
      <c r="I9" s="107" t="n">
        <v>27.69</v>
      </c>
      <c r="J9" s="102" t="s">
        <v>227</v>
      </c>
      <c r="K9" s="102" t="s">
        <v>69</v>
      </c>
    </row>
    <row r="10" customFormat="false" ht="15" hidden="false" customHeight="false" outlineLevel="0" collapsed="false">
      <c r="A10" s="108" t="n">
        <v>2</v>
      </c>
      <c r="B10" s="108" t="s">
        <v>228</v>
      </c>
      <c r="C10" s="108" t="s">
        <v>86</v>
      </c>
      <c r="D10" s="109" t="n">
        <v>63.4</v>
      </c>
      <c r="E10" s="110" t="s">
        <v>226</v>
      </c>
      <c r="F10" s="111" t="n">
        <v>0.149631562787842</v>
      </c>
      <c r="G10" s="111" t="n">
        <v>1</v>
      </c>
      <c r="H10" s="112" t="n">
        <v>4.22404799012382E-006</v>
      </c>
      <c r="I10" s="113" t="n">
        <v>65.14</v>
      </c>
      <c r="J10" s="108" t="s">
        <v>227</v>
      </c>
      <c r="K10" s="108" t="s">
        <v>69</v>
      </c>
    </row>
    <row r="11" customFormat="false" ht="15" hidden="false" customHeight="false" outlineLevel="0" collapsed="false">
      <c r="A11" s="102" t="n">
        <v>3</v>
      </c>
      <c r="B11" s="102" t="s">
        <v>229</v>
      </c>
      <c r="C11" s="102" t="s">
        <v>86</v>
      </c>
      <c r="D11" s="103" t="n">
        <v>63</v>
      </c>
      <c r="E11" s="104" t="s">
        <v>226</v>
      </c>
      <c r="F11" s="105" t="n">
        <v>0.151937457511897</v>
      </c>
      <c r="G11" s="105" t="n">
        <v>1</v>
      </c>
      <c r="H11" s="106" t="n">
        <v>1.90776008396443E-006</v>
      </c>
      <c r="I11" s="107" t="n">
        <v>29.42</v>
      </c>
      <c r="J11" s="102" t="s">
        <v>227</v>
      </c>
      <c r="K11" s="102" t="s">
        <v>69</v>
      </c>
    </row>
    <row r="12" customFormat="false" ht="15" hidden="false" customHeight="false" outlineLevel="0" collapsed="false">
      <c r="A12" s="108" t="n">
        <v>4</v>
      </c>
      <c r="B12" s="108" t="s">
        <v>230</v>
      </c>
      <c r="C12" s="108" t="s">
        <v>107</v>
      </c>
      <c r="D12" s="109" t="n">
        <v>61.7</v>
      </c>
      <c r="E12" s="110" t="s">
        <v>226</v>
      </c>
      <c r="F12" s="111" t="n">
        <v>0.161230541141586</v>
      </c>
      <c r="G12" s="111" t="n">
        <v>1</v>
      </c>
      <c r="H12" s="112" t="n">
        <v>1.74953660997145E-006</v>
      </c>
      <c r="I12" s="113" t="n">
        <v>26.98</v>
      </c>
      <c r="J12" s="108" t="s">
        <v>227</v>
      </c>
      <c r="K12" s="108" t="s">
        <v>69</v>
      </c>
    </row>
    <row r="13" customFormat="false" ht="15" hidden="false" customHeight="false" outlineLevel="0" collapsed="false">
      <c r="A13" s="102" t="n">
        <v>5</v>
      </c>
      <c r="B13" s="102" t="s">
        <v>231</v>
      </c>
      <c r="C13" s="102" t="s">
        <v>86</v>
      </c>
      <c r="D13" s="103" t="n">
        <v>59.3</v>
      </c>
      <c r="E13" s="104" t="s">
        <v>226</v>
      </c>
      <c r="F13" s="105" t="n">
        <v>0.178534140739194</v>
      </c>
      <c r="G13" s="105" t="n">
        <v>1</v>
      </c>
      <c r="H13" s="106" t="n">
        <v>3.10545990554236E-006</v>
      </c>
      <c r="I13" s="107" t="n">
        <v>47.89</v>
      </c>
      <c r="J13" s="102" t="s">
        <v>227</v>
      </c>
      <c r="K13" s="102" t="s">
        <v>69</v>
      </c>
    </row>
    <row r="14" customFormat="false" ht="15" hidden="false" customHeight="false" outlineLevel="0" collapsed="false">
      <c r="A14" s="108" t="n">
        <v>6</v>
      </c>
      <c r="B14" s="108" t="s">
        <v>232</v>
      </c>
      <c r="C14" s="108" t="s">
        <v>128</v>
      </c>
      <c r="D14" s="109" t="n">
        <v>58.8</v>
      </c>
      <c r="E14" s="110" t="s">
        <v>226</v>
      </c>
      <c r="F14" s="111" t="n">
        <v>0.181702990369995</v>
      </c>
      <c r="G14" s="111" t="n">
        <v>1</v>
      </c>
      <c r="H14" s="112" t="n">
        <v>2.55881077203386E-006</v>
      </c>
      <c r="I14" s="113" t="n">
        <v>39.46</v>
      </c>
      <c r="J14" s="108" t="s">
        <v>227</v>
      </c>
      <c r="K14" s="108" t="s">
        <v>69</v>
      </c>
    </row>
    <row r="15" customFormat="false" ht="15" hidden="false" customHeight="false" outlineLevel="0" collapsed="false">
      <c r="A15" s="102" t="n">
        <v>7</v>
      </c>
      <c r="B15" s="102" t="s">
        <v>233</v>
      </c>
      <c r="C15" s="102" t="s">
        <v>86</v>
      </c>
      <c r="D15" s="103" t="n">
        <v>57.1</v>
      </c>
      <c r="E15" s="104" t="s">
        <v>226</v>
      </c>
      <c r="F15" s="105" t="n">
        <v>0.193675889328063</v>
      </c>
      <c r="G15" s="105" t="n">
        <v>1</v>
      </c>
      <c r="H15" s="106" t="n">
        <v>9.84357514431678E-006</v>
      </c>
      <c r="I15" s="107" t="n">
        <v>151.8</v>
      </c>
      <c r="J15" s="102" t="s">
        <v>227</v>
      </c>
      <c r="K15" s="102" t="s">
        <v>69</v>
      </c>
    </row>
    <row r="16" customFormat="false" ht="15" hidden="false" customHeight="false" outlineLevel="0" collapsed="false">
      <c r="A16" s="108" t="n">
        <v>8</v>
      </c>
      <c r="B16" s="108" t="s">
        <v>234</v>
      </c>
      <c r="C16" s="108" t="s">
        <v>157</v>
      </c>
      <c r="D16" s="109" t="n">
        <v>55.3</v>
      </c>
      <c r="E16" s="110" t="s">
        <v>226</v>
      </c>
      <c r="F16" s="111" t="n">
        <v>0.206421381464769</v>
      </c>
      <c r="G16" s="111" t="n">
        <v>1</v>
      </c>
      <c r="H16" s="112" t="n">
        <v>5.60461264639855E-006</v>
      </c>
      <c r="I16" s="113" t="n">
        <v>86.43</v>
      </c>
      <c r="J16" s="108" t="s">
        <v>227</v>
      </c>
      <c r="K16" s="108" t="s">
        <v>69</v>
      </c>
    </row>
    <row r="17" customFormat="false" ht="15" hidden="false" customHeight="false" outlineLevel="0" collapsed="false">
      <c r="A17" s="102" t="n">
        <v>9</v>
      </c>
      <c r="B17" s="102" t="s">
        <v>235</v>
      </c>
      <c r="C17" s="102" t="s">
        <v>160</v>
      </c>
      <c r="D17" s="103" t="n">
        <v>54.6</v>
      </c>
      <c r="E17" s="104" t="s">
        <v>226</v>
      </c>
      <c r="F17" s="105" t="n">
        <v>0.211605053813758</v>
      </c>
      <c r="G17" s="105" t="n">
        <v>1</v>
      </c>
      <c r="H17" s="106" t="n">
        <v>4.15725693347924E-006</v>
      </c>
      <c r="I17" s="107" t="n">
        <v>64.11</v>
      </c>
      <c r="J17" s="102" t="s">
        <v>227</v>
      </c>
      <c r="K17" s="102" t="s">
        <v>69</v>
      </c>
    </row>
    <row r="18" customFormat="false" ht="15" hidden="false" customHeight="false" outlineLevel="0" collapsed="false">
      <c r="A18" s="108" t="n">
        <v>10</v>
      </c>
      <c r="B18" s="108" t="s">
        <v>236</v>
      </c>
      <c r="C18" s="108" t="s">
        <v>126</v>
      </c>
      <c r="D18" s="109" t="n">
        <v>54.2</v>
      </c>
      <c r="E18" s="110" t="s">
        <v>226</v>
      </c>
      <c r="F18" s="111" t="n">
        <v>0.213941018766756</v>
      </c>
      <c r="G18" s="111" t="n">
        <v>1</v>
      </c>
      <c r="H18" s="112" t="n">
        <v>3.62811613520767E-006</v>
      </c>
      <c r="I18" s="113" t="n">
        <v>55.95</v>
      </c>
      <c r="J18" s="108" t="s">
        <v>227</v>
      </c>
      <c r="K18" s="108" t="s">
        <v>69</v>
      </c>
    </row>
    <row r="19" customFormat="false" ht="15" hidden="false" customHeight="false" outlineLevel="0" collapsed="false">
      <c r="A19" s="102" t="n">
        <v>11</v>
      </c>
      <c r="B19" s="102" t="s">
        <v>237</v>
      </c>
      <c r="C19" s="102" t="s">
        <v>86</v>
      </c>
      <c r="D19" s="103" t="n">
        <v>54.1</v>
      </c>
      <c r="E19" s="104" t="s">
        <v>226</v>
      </c>
      <c r="F19" s="105" t="n">
        <v>0.133019516155891</v>
      </c>
      <c r="G19" s="105" t="n">
        <v>0.666666666666667</v>
      </c>
      <c r="H19" s="106" t="n">
        <v>1.63910440660669E-005</v>
      </c>
      <c r="I19" s="107" t="n">
        <v>252.77</v>
      </c>
      <c r="J19" s="102" t="s">
        <v>227</v>
      </c>
      <c r="K19" s="102" t="s">
        <v>69</v>
      </c>
    </row>
    <row r="20" customFormat="false" ht="15" hidden="false" customHeight="false" outlineLevel="0" collapsed="false">
      <c r="A20" s="108" t="n">
        <v>12</v>
      </c>
      <c r="B20" s="108" t="s">
        <v>238</v>
      </c>
      <c r="C20" s="108" t="s">
        <v>86</v>
      </c>
      <c r="D20" s="109" t="n">
        <v>53.5</v>
      </c>
      <c r="E20" s="110" t="s">
        <v>226</v>
      </c>
      <c r="F20" s="111" t="n">
        <v>0.219013627514601</v>
      </c>
      <c r="G20" s="111" t="n">
        <v>1</v>
      </c>
      <c r="H20" s="112" t="n">
        <v>1.9985440444522E-006</v>
      </c>
      <c r="I20" s="113" t="n">
        <v>30.82</v>
      </c>
      <c r="J20" s="108" t="s">
        <v>227</v>
      </c>
      <c r="K20" s="108" t="s">
        <v>69</v>
      </c>
    </row>
    <row r="21" customFormat="false" ht="15" hidden="false" customHeight="false" outlineLevel="0" collapsed="false">
      <c r="A21" s="102" t="n">
        <v>13</v>
      </c>
      <c r="B21" s="102" t="s">
        <v>239</v>
      </c>
      <c r="C21" s="102" t="s">
        <v>156</v>
      </c>
      <c r="D21" s="103" t="n">
        <v>53.3</v>
      </c>
      <c r="E21" s="104" t="s">
        <v>226</v>
      </c>
      <c r="F21" s="105" t="n">
        <v>0.220776450511946</v>
      </c>
      <c r="G21" s="105" t="n">
        <v>1</v>
      </c>
      <c r="H21" s="106" t="n">
        <v>3.03996576261904E-005</v>
      </c>
      <c r="I21" s="107" t="n">
        <v>468.8</v>
      </c>
      <c r="J21" s="102" t="s">
        <v>227</v>
      </c>
      <c r="K21" s="102" t="s">
        <v>69</v>
      </c>
    </row>
    <row r="22" customFormat="false" ht="15" hidden="false" customHeight="false" outlineLevel="0" collapsed="false">
      <c r="A22" s="108" t="n">
        <v>14</v>
      </c>
      <c r="B22" s="108" t="s">
        <v>240</v>
      </c>
      <c r="C22" s="108" t="s">
        <v>86</v>
      </c>
      <c r="D22" s="109" t="n">
        <v>52.5</v>
      </c>
      <c r="E22" s="110" t="s">
        <v>226</v>
      </c>
      <c r="F22" s="111" t="n">
        <v>0.225867269984917</v>
      </c>
      <c r="G22" s="111" t="n">
        <v>1</v>
      </c>
      <c r="H22" s="112" t="n">
        <v>5.15912278314785E-006</v>
      </c>
      <c r="I22" s="113" t="n">
        <v>79.56</v>
      </c>
      <c r="J22" s="108" t="s">
        <v>227</v>
      </c>
      <c r="K22" s="108" t="s">
        <v>69</v>
      </c>
    </row>
    <row r="23" customFormat="false" ht="15" hidden="false" customHeight="false" outlineLevel="0" collapsed="false">
      <c r="A23" s="102" t="n">
        <v>15</v>
      </c>
      <c r="B23" s="102" t="s">
        <v>241</v>
      </c>
      <c r="C23" s="102" t="s">
        <v>86</v>
      </c>
      <c r="D23" s="103" t="n">
        <v>52.4</v>
      </c>
      <c r="E23" s="104" t="s">
        <v>226</v>
      </c>
      <c r="F23" s="105" t="n">
        <v>0.226485507246377</v>
      </c>
      <c r="G23" s="105" t="n">
        <v>1</v>
      </c>
      <c r="H23" s="106" t="n">
        <v>6.85743130112977E-006</v>
      </c>
      <c r="I23" s="107" t="n">
        <v>105.75</v>
      </c>
      <c r="J23" s="102" t="s">
        <v>227</v>
      </c>
      <c r="K23" s="102" t="s">
        <v>69</v>
      </c>
    </row>
    <row r="24" customFormat="false" ht="15" hidden="false" customHeight="false" outlineLevel="0" collapsed="false">
      <c r="A24" s="108" t="n">
        <v>16</v>
      </c>
      <c r="B24" s="108" t="s">
        <v>242</v>
      </c>
      <c r="C24" s="108" t="s">
        <v>158</v>
      </c>
      <c r="D24" s="109" t="n">
        <v>52.4</v>
      </c>
      <c r="E24" s="110" t="s">
        <v>226</v>
      </c>
      <c r="F24" s="111" t="n">
        <v>0.226839237057221</v>
      </c>
      <c r="G24" s="111" t="n">
        <v>1</v>
      </c>
      <c r="H24" s="112" t="n">
        <v>1.7134824085206E-005</v>
      </c>
      <c r="I24" s="113" t="n">
        <v>264.24</v>
      </c>
      <c r="J24" s="108" t="s">
        <v>227</v>
      </c>
      <c r="K24" s="108" t="s">
        <v>69</v>
      </c>
    </row>
    <row r="25" customFormat="false" ht="15" hidden="false" customHeight="false" outlineLevel="0" collapsed="false">
      <c r="A25" s="102" t="n">
        <v>17</v>
      </c>
      <c r="B25" s="102" t="s">
        <v>243</v>
      </c>
      <c r="C25" s="102" t="s">
        <v>86</v>
      </c>
      <c r="D25" s="103" t="n">
        <v>51.8</v>
      </c>
      <c r="E25" s="104" t="s">
        <v>226</v>
      </c>
      <c r="F25" s="105" t="n">
        <v>0.230851952783197</v>
      </c>
      <c r="G25" s="105" t="n">
        <v>1</v>
      </c>
      <c r="H25" s="106" t="n">
        <v>1.02138440117348E-005</v>
      </c>
      <c r="I25" s="107" t="n">
        <v>157.51</v>
      </c>
      <c r="J25" s="102" t="s">
        <v>227</v>
      </c>
      <c r="K25" s="102" t="s">
        <v>69</v>
      </c>
    </row>
    <row r="26" customFormat="false" ht="15" hidden="false" customHeight="false" outlineLevel="0" collapsed="false">
      <c r="A26" s="108" t="n">
        <v>18</v>
      </c>
      <c r="B26" s="108" t="s">
        <v>244</v>
      </c>
      <c r="C26" s="108" t="s">
        <v>86</v>
      </c>
      <c r="D26" s="109" t="n">
        <v>51.7</v>
      </c>
      <c r="E26" s="110" t="s">
        <v>226</v>
      </c>
      <c r="F26" s="111" t="n">
        <v>0.231839258114374</v>
      </c>
      <c r="G26" s="111" t="n">
        <v>1</v>
      </c>
      <c r="H26" s="112" t="n">
        <v>5.03461906590748E-006</v>
      </c>
      <c r="I26" s="113" t="n">
        <v>77.64</v>
      </c>
      <c r="J26" s="108" t="s">
        <v>227</v>
      </c>
      <c r="K26" s="108" t="s">
        <v>69</v>
      </c>
    </row>
    <row r="27" customFormat="false" ht="15" hidden="false" customHeight="false" outlineLevel="0" collapsed="false">
      <c r="A27" s="102" t="n">
        <v>19</v>
      </c>
      <c r="B27" s="102" t="s">
        <v>245</v>
      </c>
      <c r="C27" s="102" t="s">
        <v>156</v>
      </c>
      <c r="D27" s="103" t="n">
        <v>51.5</v>
      </c>
      <c r="E27" s="104" t="s">
        <v>226</v>
      </c>
      <c r="F27" s="105" t="n">
        <v>0.23349866463182</v>
      </c>
      <c r="G27" s="105" t="n">
        <v>1</v>
      </c>
      <c r="H27" s="106" t="n">
        <v>1.69960543170318E-005</v>
      </c>
      <c r="I27" s="107" t="n">
        <v>262.1</v>
      </c>
      <c r="J27" s="102" t="s">
        <v>227</v>
      </c>
      <c r="K27" s="102" t="s">
        <v>69</v>
      </c>
    </row>
    <row r="28" customFormat="false" ht="15" hidden="false" customHeight="false" outlineLevel="0" collapsed="false">
      <c r="A28" s="108" t="n">
        <v>20</v>
      </c>
      <c r="B28" s="108" t="s">
        <v>246</v>
      </c>
      <c r="C28" s="108" t="s">
        <v>86</v>
      </c>
      <c r="D28" s="109" t="n">
        <v>51.2</v>
      </c>
      <c r="E28" s="110" t="s">
        <v>226</v>
      </c>
      <c r="F28" s="111" t="n">
        <v>0.234926470588235</v>
      </c>
      <c r="G28" s="111" t="n">
        <v>1</v>
      </c>
      <c r="H28" s="112" t="n">
        <v>5.29140798271574E-006</v>
      </c>
      <c r="I28" s="113" t="n">
        <v>81.6</v>
      </c>
      <c r="J28" s="108" t="s">
        <v>227</v>
      </c>
      <c r="K28" s="108" t="s">
        <v>69</v>
      </c>
    </row>
    <row r="29" customFormat="false" ht="15" hidden="false" customHeight="false" outlineLevel="0" collapsed="false">
      <c r="A29" s="102" t="n">
        <v>21</v>
      </c>
      <c r="B29" s="102" t="s">
        <v>247</v>
      </c>
      <c r="C29" s="102" t="s">
        <v>86</v>
      </c>
      <c r="D29" s="103" t="n">
        <v>50.7</v>
      </c>
      <c r="E29" s="104" t="s">
        <v>226</v>
      </c>
      <c r="F29" s="105" t="n">
        <v>0.156611809766325</v>
      </c>
      <c r="G29" s="105" t="n">
        <v>0.666666666666667</v>
      </c>
      <c r="H29" s="106" t="n">
        <v>6.85483747368727E-006</v>
      </c>
      <c r="I29" s="107" t="n">
        <v>105.71</v>
      </c>
      <c r="J29" s="102" t="s">
        <v>227</v>
      </c>
      <c r="K29" s="102" t="s">
        <v>69</v>
      </c>
    </row>
    <row r="30" customFormat="false" ht="15" hidden="false" customHeight="false" outlineLevel="0" collapsed="false">
      <c r="A30" s="108" t="n">
        <v>22</v>
      </c>
      <c r="B30" s="108" t="s">
        <v>248</v>
      </c>
      <c r="C30" s="108" t="s">
        <v>160</v>
      </c>
      <c r="D30" s="109" t="n">
        <v>50.2</v>
      </c>
      <c r="E30" s="110" t="s">
        <v>226</v>
      </c>
      <c r="F30" s="111" t="n">
        <v>0.242457649036596</v>
      </c>
      <c r="G30" s="111" t="n">
        <v>1</v>
      </c>
      <c r="H30" s="112" t="n">
        <v>2.00580676129122E-005</v>
      </c>
      <c r="I30" s="113" t="n">
        <v>309.32</v>
      </c>
      <c r="J30" s="108" t="s">
        <v>227</v>
      </c>
      <c r="K30" s="108" t="s">
        <v>69</v>
      </c>
    </row>
    <row r="31" customFormat="false" ht="15" hidden="false" customHeight="false" outlineLevel="0" collapsed="false">
      <c r="A31" s="102" t="n">
        <v>23</v>
      </c>
      <c r="B31" s="102" t="s">
        <v>249</v>
      </c>
      <c r="C31" s="102" t="s">
        <v>121</v>
      </c>
      <c r="D31" s="114" t="n">
        <v>49.8</v>
      </c>
      <c r="E31" s="115" t="s">
        <v>87</v>
      </c>
      <c r="F31" s="105" t="n">
        <v>0.245317777095487</v>
      </c>
      <c r="G31" s="105" t="n">
        <v>1</v>
      </c>
      <c r="H31" s="106" t="n">
        <v>6.33607198518572E-006</v>
      </c>
      <c r="I31" s="107" t="n">
        <v>97.71</v>
      </c>
      <c r="J31" s="102" t="s">
        <v>250</v>
      </c>
      <c r="K31" s="102" t="s">
        <v>70</v>
      </c>
    </row>
    <row r="32" customFormat="false" ht="15" hidden="false" customHeight="false" outlineLevel="0" collapsed="false">
      <c r="A32" s="108" t="n">
        <v>24</v>
      </c>
      <c r="B32" s="108" t="s">
        <v>251</v>
      </c>
      <c r="C32" s="108" t="s">
        <v>86</v>
      </c>
      <c r="D32" s="116" t="n">
        <v>49.7</v>
      </c>
      <c r="E32" s="117" t="s">
        <v>87</v>
      </c>
      <c r="F32" s="111" t="n">
        <v>0.24580751002552</v>
      </c>
      <c r="G32" s="111" t="n">
        <v>1</v>
      </c>
      <c r="H32" s="112" t="n">
        <v>7.11486867479866E-006</v>
      </c>
      <c r="I32" s="113" t="n">
        <v>109.72</v>
      </c>
      <c r="J32" s="108" t="s">
        <v>250</v>
      </c>
      <c r="K32" s="108" t="s">
        <v>70</v>
      </c>
    </row>
    <row r="33" customFormat="false" ht="15" hidden="false" customHeight="false" outlineLevel="0" collapsed="false">
      <c r="A33" s="102" t="n">
        <v>25</v>
      </c>
      <c r="B33" s="102" t="s">
        <v>252</v>
      </c>
      <c r="C33" s="102" t="s">
        <v>86</v>
      </c>
      <c r="D33" s="114" t="n">
        <v>49.6</v>
      </c>
      <c r="E33" s="115" t="s">
        <v>87</v>
      </c>
      <c r="F33" s="105" t="n">
        <v>0.246673643294962</v>
      </c>
      <c r="G33" s="105" t="n">
        <v>1</v>
      </c>
      <c r="H33" s="106" t="n">
        <v>4.33752794073353E-006</v>
      </c>
      <c r="I33" s="107" t="n">
        <v>66.89</v>
      </c>
      <c r="J33" s="102" t="s">
        <v>250</v>
      </c>
      <c r="K33" s="102" t="s">
        <v>70</v>
      </c>
    </row>
    <row r="34" customFormat="false" ht="15" hidden="false" customHeight="false" outlineLevel="0" collapsed="false">
      <c r="A34" s="108" t="n">
        <v>26</v>
      </c>
      <c r="B34" s="108" t="s">
        <v>253</v>
      </c>
      <c r="C34" s="108" t="s">
        <v>126</v>
      </c>
      <c r="D34" s="116" t="n">
        <v>49.4</v>
      </c>
      <c r="E34" s="117" t="s">
        <v>87</v>
      </c>
      <c r="F34" s="111" t="n">
        <v>0.248037414397862</v>
      </c>
      <c r="G34" s="111" t="n">
        <v>1</v>
      </c>
      <c r="H34" s="112" t="n">
        <v>1.55292448982937E-005</v>
      </c>
      <c r="I34" s="113" t="n">
        <v>239.48</v>
      </c>
      <c r="J34" s="108" t="s">
        <v>250</v>
      </c>
      <c r="K34" s="108" t="s">
        <v>70</v>
      </c>
    </row>
    <row r="35" customFormat="false" ht="15" hidden="false" customHeight="false" outlineLevel="0" collapsed="false">
      <c r="A35" s="102" t="n">
        <v>27</v>
      </c>
      <c r="B35" s="102" t="s">
        <v>254</v>
      </c>
      <c r="C35" s="102" t="s">
        <v>86</v>
      </c>
      <c r="D35" s="114" t="n">
        <v>49.2</v>
      </c>
      <c r="E35" s="115" t="s">
        <v>87</v>
      </c>
      <c r="F35" s="105" t="n">
        <v>0.249526170239794</v>
      </c>
      <c r="G35" s="105" t="n">
        <v>1</v>
      </c>
      <c r="H35" s="106" t="n">
        <v>4.35101584343457E-005</v>
      </c>
      <c r="I35" s="107" t="n">
        <v>670.98</v>
      </c>
      <c r="J35" s="102" t="s">
        <v>250</v>
      </c>
      <c r="K35" s="102" t="s">
        <v>70</v>
      </c>
    </row>
    <row r="36" customFormat="false" ht="15" hidden="false" customHeight="false" outlineLevel="0" collapsed="false">
      <c r="A36" s="108" t="n">
        <v>28</v>
      </c>
      <c r="B36" s="108" t="s">
        <v>255</v>
      </c>
      <c r="C36" s="108" t="s">
        <v>156</v>
      </c>
      <c r="D36" s="116" t="n">
        <v>49.2</v>
      </c>
      <c r="E36" s="117" t="s">
        <v>87</v>
      </c>
      <c r="F36" s="111" t="n">
        <v>0.249416160672583</v>
      </c>
      <c r="G36" s="111" t="n">
        <v>1</v>
      </c>
      <c r="H36" s="112" t="n">
        <v>1.38834613860226E-005</v>
      </c>
      <c r="I36" s="113" t="n">
        <v>214.1</v>
      </c>
      <c r="J36" s="108" t="s">
        <v>250</v>
      </c>
      <c r="K36" s="108" t="s">
        <v>70</v>
      </c>
    </row>
    <row r="37" customFormat="false" ht="15" hidden="false" customHeight="false" outlineLevel="0" collapsed="false">
      <c r="A37" s="102" t="n">
        <v>29</v>
      </c>
      <c r="B37" s="102" t="s">
        <v>256</v>
      </c>
      <c r="C37" s="102" t="s">
        <v>86</v>
      </c>
      <c r="D37" s="114" t="n">
        <v>48.9</v>
      </c>
      <c r="E37" s="115" t="s">
        <v>87</v>
      </c>
      <c r="F37" s="105" t="n">
        <v>0.251779549038831</v>
      </c>
      <c r="G37" s="105" t="n">
        <v>1</v>
      </c>
      <c r="H37" s="106" t="n">
        <v>1.52134464071684E-005</v>
      </c>
      <c r="I37" s="107" t="n">
        <v>234.61</v>
      </c>
      <c r="J37" s="102" t="s">
        <v>250</v>
      </c>
      <c r="K37" s="102" t="s">
        <v>70</v>
      </c>
    </row>
    <row r="38" customFormat="false" ht="15" hidden="false" customHeight="false" outlineLevel="0" collapsed="false">
      <c r="A38" s="108" t="n">
        <v>30</v>
      </c>
      <c r="B38" s="108" t="s">
        <v>257</v>
      </c>
      <c r="C38" s="108" t="s">
        <v>86</v>
      </c>
      <c r="D38" s="116" t="n">
        <v>48.8</v>
      </c>
      <c r="E38" s="117" t="s">
        <v>87</v>
      </c>
      <c r="F38" s="111" t="n">
        <v>0.252085834333733</v>
      </c>
      <c r="G38" s="111" t="n">
        <v>1</v>
      </c>
      <c r="H38" s="112" t="n">
        <v>1.29639495576536E-005</v>
      </c>
      <c r="I38" s="113" t="n">
        <v>199.92</v>
      </c>
      <c r="J38" s="108" t="s">
        <v>250</v>
      </c>
      <c r="K38" s="108" t="s">
        <v>70</v>
      </c>
    </row>
    <row r="39" customFormat="false" ht="15" hidden="false" customHeight="false" outlineLevel="0" collapsed="false">
      <c r="A39" s="102" t="n">
        <v>31</v>
      </c>
      <c r="B39" s="102" t="s">
        <v>258</v>
      </c>
      <c r="C39" s="102" t="s">
        <v>86</v>
      </c>
      <c r="D39" s="114" t="n">
        <v>48.7</v>
      </c>
      <c r="E39" s="115" t="s">
        <v>87</v>
      </c>
      <c r="F39" s="105" t="n">
        <v>0.252421918832991</v>
      </c>
      <c r="G39" s="105" t="n">
        <v>1</v>
      </c>
      <c r="H39" s="106" t="n">
        <v>3.46729883377219E-006</v>
      </c>
      <c r="I39" s="107" t="n">
        <v>53.47</v>
      </c>
      <c r="J39" s="102" t="s">
        <v>250</v>
      </c>
      <c r="K39" s="102" t="s">
        <v>70</v>
      </c>
    </row>
    <row r="40" customFormat="false" ht="15" hidden="false" customHeight="false" outlineLevel="0" collapsed="false">
      <c r="A40" s="108" t="n">
        <v>32</v>
      </c>
      <c r="B40" s="108" t="s">
        <v>259</v>
      </c>
      <c r="C40" s="108" t="s">
        <v>86</v>
      </c>
      <c r="D40" s="116" t="n">
        <v>48.7</v>
      </c>
      <c r="E40" s="117" t="s">
        <v>87</v>
      </c>
      <c r="F40" s="111" t="n">
        <v>0.253118121790169</v>
      </c>
      <c r="G40" s="111" t="n">
        <v>1</v>
      </c>
      <c r="H40" s="112" t="n">
        <v>8.83846701034504E-006</v>
      </c>
      <c r="I40" s="113" t="n">
        <v>136.3</v>
      </c>
      <c r="J40" s="108" t="s">
        <v>250</v>
      </c>
      <c r="K40" s="108" t="s">
        <v>70</v>
      </c>
    </row>
    <row r="41" customFormat="false" ht="15" hidden="false" customHeight="false" outlineLevel="0" collapsed="false">
      <c r="A41" s="102" t="n">
        <v>33</v>
      </c>
      <c r="B41" s="102" t="s">
        <v>260</v>
      </c>
      <c r="C41" s="102" t="s">
        <v>86</v>
      </c>
      <c r="D41" s="114" t="n">
        <v>47.9</v>
      </c>
      <c r="E41" s="115" t="s">
        <v>87</v>
      </c>
      <c r="F41" s="105" t="n">
        <v>0.258378094265587</v>
      </c>
      <c r="G41" s="105" t="n">
        <v>1</v>
      </c>
      <c r="H41" s="106" t="n">
        <v>1.49080232258131E-005</v>
      </c>
      <c r="I41" s="107" t="n">
        <v>229.9</v>
      </c>
      <c r="J41" s="102" t="s">
        <v>250</v>
      </c>
      <c r="K41" s="102" t="s">
        <v>70</v>
      </c>
    </row>
    <row r="42" customFormat="false" ht="15" hidden="false" customHeight="false" outlineLevel="0" collapsed="false">
      <c r="A42" s="108" t="n">
        <v>34</v>
      </c>
      <c r="B42" s="108" t="s">
        <v>261</v>
      </c>
      <c r="C42" s="108" t="s">
        <v>86</v>
      </c>
      <c r="D42" s="116" t="n">
        <v>47.9</v>
      </c>
      <c r="E42" s="117" t="s">
        <v>87</v>
      </c>
      <c r="F42" s="111" t="n">
        <v>0.258295443552288</v>
      </c>
      <c r="G42" s="111" t="n">
        <v>1</v>
      </c>
      <c r="H42" s="112" t="n">
        <v>6.70309856830057E-006</v>
      </c>
      <c r="I42" s="113" t="n">
        <v>103.37</v>
      </c>
      <c r="J42" s="108" t="s">
        <v>250</v>
      </c>
      <c r="K42" s="108" t="s">
        <v>70</v>
      </c>
    </row>
    <row r="43" customFormat="false" ht="15" hidden="false" customHeight="false" outlineLevel="0" collapsed="false">
      <c r="A43" s="102" t="n">
        <v>35</v>
      </c>
      <c r="B43" s="102" t="s">
        <v>262</v>
      </c>
      <c r="C43" s="102" t="s">
        <v>86</v>
      </c>
      <c r="D43" s="114" t="n">
        <v>47.8</v>
      </c>
      <c r="E43" s="115" t="s">
        <v>87</v>
      </c>
      <c r="F43" s="105" t="n">
        <v>0.259262542102464</v>
      </c>
      <c r="G43" s="105" t="n">
        <v>1</v>
      </c>
      <c r="H43" s="106" t="n">
        <v>2.92635612063721E-005</v>
      </c>
      <c r="I43" s="107" t="n">
        <v>451.28</v>
      </c>
      <c r="J43" s="102" t="s">
        <v>250</v>
      </c>
      <c r="K43" s="102" t="s">
        <v>70</v>
      </c>
    </row>
    <row r="44" customFormat="false" ht="15" hidden="false" customHeight="false" outlineLevel="0" collapsed="false">
      <c r="A44" s="108" t="n">
        <v>36</v>
      </c>
      <c r="B44" s="108" t="s">
        <v>263</v>
      </c>
      <c r="C44" s="108" t="s">
        <v>156</v>
      </c>
      <c r="D44" s="116" t="n">
        <v>47.7</v>
      </c>
      <c r="E44" s="117" t="s">
        <v>87</v>
      </c>
      <c r="F44" s="111" t="n">
        <v>0.259650337545439</v>
      </c>
      <c r="G44" s="111" t="n">
        <v>1</v>
      </c>
      <c r="H44" s="112" t="n">
        <v>3.74613528384177E-006</v>
      </c>
      <c r="I44" s="113" t="n">
        <v>57.77</v>
      </c>
      <c r="J44" s="108" t="s">
        <v>250</v>
      </c>
      <c r="K44" s="108" t="s">
        <v>70</v>
      </c>
    </row>
    <row r="45" customFormat="false" ht="15" hidden="false" customHeight="false" outlineLevel="0" collapsed="false">
      <c r="A45" s="102" t="n">
        <v>37</v>
      </c>
      <c r="B45" s="102" t="s">
        <v>264</v>
      </c>
      <c r="C45" s="102" t="s">
        <v>86</v>
      </c>
      <c r="D45" s="114" t="n">
        <v>47.6</v>
      </c>
      <c r="E45" s="115" t="s">
        <v>87</v>
      </c>
      <c r="F45" s="105" t="n">
        <v>0.260513851011913</v>
      </c>
      <c r="G45" s="105" t="n">
        <v>1</v>
      </c>
      <c r="H45" s="106" t="n">
        <v>4.51779894798781E-006</v>
      </c>
      <c r="I45" s="107" t="n">
        <v>69.67</v>
      </c>
      <c r="J45" s="102" t="s">
        <v>250</v>
      </c>
      <c r="K45" s="102" t="s">
        <v>70</v>
      </c>
    </row>
    <row r="46" customFormat="false" ht="15" hidden="false" customHeight="false" outlineLevel="0" collapsed="false">
      <c r="A46" s="108" t="n">
        <v>38</v>
      </c>
      <c r="B46" s="108" t="s">
        <v>265</v>
      </c>
      <c r="C46" s="108" t="s">
        <v>107</v>
      </c>
      <c r="D46" s="116" t="n">
        <v>47.5</v>
      </c>
      <c r="E46" s="117" t="s">
        <v>87</v>
      </c>
      <c r="F46" s="111" t="n">
        <v>0.26124488868696</v>
      </c>
      <c r="G46" s="111" t="n">
        <v>1</v>
      </c>
      <c r="H46" s="112" t="n">
        <v>8.56352130143922E-006</v>
      </c>
      <c r="I46" s="113" t="n">
        <v>132.06</v>
      </c>
      <c r="J46" s="108" t="s">
        <v>250</v>
      </c>
      <c r="K46" s="108" t="s">
        <v>70</v>
      </c>
    </row>
    <row r="47" customFormat="false" ht="15" hidden="false" customHeight="false" outlineLevel="0" collapsed="false">
      <c r="A47" s="102" t="n">
        <v>39</v>
      </c>
      <c r="B47" s="102" t="s">
        <v>266</v>
      </c>
      <c r="C47" s="102" t="s">
        <v>128</v>
      </c>
      <c r="D47" s="114" t="n">
        <v>47</v>
      </c>
      <c r="E47" s="115" t="s">
        <v>87</v>
      </c>
      <c r="F47" s="105" t="n">
        <v>0.264407527197883</v>
      </c>
      <c r="G47" s="105" t="n">
        <v>1</v>
      </c>
      <c r="H47" s="106" t="n">
        <v>8.82160713196874E-006</v>
      </c>
      <c r="I47" s="107" t="n">
        <v>136.04</v>
      </c>
      <c r="J47" s="102" t="s">
        <v>250</v>
      </c>
      <c r="K47" s="102" t="s">
        <v>70</v>
      </c>
    </row>
    <row r="48" customFormat="false" ht="15" hidden="false" customHeight="false" outlineLevel="0" collapsed="false">
      <c r="A48" s="108" t="n">
        <v>40</v>
      </c>
      <c r="B48" s="108" t="s">
        <v>267</v>
      </c>
      <c r="C48" s="108" t="s">
        <v>86</v>
      </c>
      <c r="D48" s="116" t="n">
        <v>46.8</v>
      </c>
      <c r="E48" s="117" t="s">
        <v>87</v>
      </c>
      <c r="F48" s="111" t="n">
        <v>0.266101694915254</v>
      </c>
      <c r="G48" s="111" t="n">
        <v>1</v>
      </c>
      <c r="H48" s="112" t="n">
        <v>7.69004991017475E-006</v>
      </c>
      <c r="I48" s="113" t="n">
        <v>118.59</v>
      </c>
      <c r="J48" s="108" t="s">
        <v>250</v>
      </c>
      <c r="K48" s="108" t="s">
        <v>70</v>
      </c>
    </row>
    <row r="49" customFormat="false" ht="15" hidden="false" customHeight="false" outlineLevel="0" collapsed="false">
      <c r="A49" s="102" t="n">
        <v>41</v>
      </c>
      <c r="B49" s="102" t="s">
        <v>268</v>
      </c>
      <c r="C49" s="102" t="s">
        <v>86</v>
      </c>
      <c r="D49" s="114" t="n">
        <v>46.7</v>
      </c>
      <c r="E49" s="115" t="s">
        <v>87</v>
      </c>
      <c r="F49" s="105" t="n">
        <v>0.266756635177688</v>
      </c>
      <c r="G49" s="105" t="n">
        <v>1</v>
      </c>
      <c r="H49" s="106" t="n">
        <v>4.32455880352099E-006</v>
      </c>
      <c r="I49" s="107" t="n">
        <v>66.69</v>
      </c>
      <c r="J49" s="102" t="s">
        <v>250</v>
      </c>
      <c r="K49" s="102" t="s">
        <v>70</v>
      </c>
    </row>
    <row r="50" customFormat="false" ht="15" hidden="false" customHeight="false" outlineLevel="0" collapsed="false">
      <c r="A50" s="108" t="n">
        <v>42</v>
      </c>
      <c r="B50" s="108" t="s">
        <v>269</v>
      </c>
      <c r="C50" s="108" t="s">
        <v>107</v>
      </c>
      <c r="D50" s="116" t="n">
        <v>46.4</v>
      </c>
      <c r="E50" s="117" t="s">
        <v>87</v>
      </c>
      <c r="F50" s="111" t="n">
        <v>0.177195929389009</v>
      </c>
      <c r="G50" s="111" t="n">
        <v>0.625</v>
      </c>
      <c r="H50" s="112" t="n">
        <v>7.11019978540215E-005</v>
      </c>
      <c r="I50" s="113" t="n">
        <v>1096.48</v>
      </c>
      <c r="J50" s="108" t="s">
        <v>250</v>
      </c>
      <c r="K50" s="108" t="s">
        <v>71</v>
      </c>
    </row>
    <row r="51" customFormat="false" ht="15" hidden="false" customHeight="false" outlineLevel="0" collapsed="false">
      <c r="A51" s="102" t="n">
        <v>43</v>
      </c>
      <c r="B51" s="102" t="s">
        <v>270</v>
      </c>
      <c r="C51" s="102" t="s">
        <v>107</v>
      </c>
      <c r="D51" s="114" t="n">
        <v>46.4</v>
      </c>
      <c r="E51" s="115" t="s">
        <v>87</v>
      </c>
      <c r="F51" s="105" t="n">
        <v>0.269843905679176</v>
      </c>
      <c r="G51" s="105" t="n">
        <v>1</v>
      </c>
      <c r="H51" s="106" t="n">
        <v>7.02901298645166E-005</v>
      </c>
      <c r="I51" s="107" t="n">
        <v>1083.96</v>
      </c>
      <c r="J51" s="102" t="s">
        <v>250</v>
      </c>
      <c r="K51" s="102" t="s">
        <v>72</v>
      </c>
    </row>
    <row r="52" customFormat="false" ht="15" hidden="false" customHeight="false" outlineLevel="0" collapsed="false">
      <c r="A52" s="108" t="n">
        <v>44</v>
      </c>
      <c r="B52" s="108" t="s">
        <v>271</v>
      </c>
      <c r="C52" s="108" t="s">
        <v>86</v>
      </c>
      <c r="D52" s="116" t="n">
        <v>46.3</v>
      </c>
      <c r="E52" s="117" t="s">
        <v>87</v>
      </c>
      <c r="F52" s="111" t="n">
        <v>0.269565901226801</v>
      </c>
      <c r="G52" s="111" t="n">
        <v>1</v>
      </c>
      <c r="H52" s="112" t="n">
        <v>2.47373323191961E-005</v>
      </c>
      <c r="I52" s="113" t="n">
        <v>381.48</v>
      </c>
      <c r="J52" s="108" t="s">
        <v>250</v>
      </c>
      <c r="K52" s="108" t="s">
        <v>70</v>
      </c>
    </row>
    <row r="53" customFormat="false" ht="15" hidden="false" customHeight="false" outlineLevel="0" collapsed="false">
      <c r="A53" s="102" t="n">
        <v>45</v>
      </c>
      <c r="B53" s="102" t="s">
        <v>272</v>
      </c>
      <c r="C53" s="102" t="s">
        <v>86</v>
      </c>
      <c r="D53" s="114" t="n">
        <v>46.2</v>
      </c>
      <c r="E53" s="115" t="s">
        <v>87</v>
      </c>
      <c r="F53" s="105" t="n">
        <v>0.270346692894025</v>
      </c>
      <c r="G53" s="105" t="n">
        <v>1</v>
      </c>
      <c r="H53" s="106" t="n">
        <v>1.58236443130183E-005</v>
      </c>
      <c r="I53" s="107" t="n">
        <v>244.02</v>
      </c>
      <c r="J53" s="102" t="s">
        <v>250</v>
      </c>
      <c r="K53" s="102" t="s">
        <v>70</v>
      </c>
    </row>
    <row r="54" customFormat="false" ht="15" hidden="false" customHeight="false" outlineLevel="0" collapsed="false">
      <c r="A54" s="108" t="n">
        <v>46</v>
      </c>
      <c r="B54" s="108" t="s">
        <v>273</v>
      </c>
      <c r="C54" s="108" t="s">
        <v>128</v>
      </c>
      <c r="D54" s="116" t="n">
        <v>45.4</v>
      </c>
      <c r="E54" s="117" t="s">
        <v>87</v>
      </c>
      <c r="F54" s="111" t="n">
        <v>0.276313769636187</v>
      </c>
      <c r="G54" s="111" t="n">
        <v>1</v>
      </c>
      <c r="H54" s="112" t="n">
        <v>1.26727924272321E-005</v>
      </c>
      <c r="I54" s="113" t="n">
        <v>195.43</v>
      </c>
      <c r="J54" s="108" t="s">
        <v>250</v>
      </c>
      <c r="K54" s="108" t="s">
        <v>70</v>
      </c>
    </row>
    <row r="55" customFormat="false" ht="15" hidden="false" customHeight="false" outlineLevel="0" collapsed="false">
      <c r="A55" s="102" t="n">
        <v>47</v>
      </c>
      <c r="B55" s="102" t="s">
        <v>274</v>
      </c>
      <c r="C55" s="102" t="s">
        <v>86</v>
      </c>
      <c r="D55" s="114" t="n">
        <v>45.2</v>
      </c>
      <c r="E55" s="115" t="s">
        <v>87</v>
      </c>
      <c r="F55" s="105" t="n">
        <v>0.27724182122388</v>
      </c>
      <c r="G55" s="105" t="n">
        <v>1</v>
      </c>
      <c r="H55" s="106" t="n">
        <v>1.82158016718711E-005</v>
      </c>
      <c r="I55" s="107" t="n">
        <v>280.91</v>
      </c>
      <c r="J55" s="102" t="s">
        <v>250</v>
      </c>
      <c r="K55" s="102" t="s">
        <v>70</v>
      </c>
    </row>
    <row r="56" customFormat="false" ht="15" hidden="false" customHeight="false" outlineLevel="0" collapsed="false">
      <c r="A56" s="108" t="n">
        <v>48</v>
      </c>
      <c r="B56" s="108" t="s">
        <v>275</v>
      </c>
      <c r="C56" s="108" t="s">
        <v>86</v>
      </c>
      <c r="D56" s="116" t="n">
        <v>44.9</v>
      </c>
      <c r="E56" s="117" t="s">
        <v>87</v>
      </c>
      <c r="F56" s="111" t="n">
        <v>0.2801877979256</v>
      </c>
      <c r="G56" s="111" t="n">
        <v>1</v>
      </c>
      <c r="H56" s="112" t="n">
        <v>5.41422571211848E-005</v>
      </c>
      <c r="I56" s="113" t="n">
        <v>834.94</v>
      </c>
      <c r="J56" s="108" t="s">
        <v>250</v>
      </c>
      <c r="K56" s="108" t="s">
        <v>70</v>
      </c>
    </row>
    <row r="57" customFormat="false" ht="15" hidden="false" customHeight="false" outlineLevel="0" collapsed="false">
      <c r="A57" s="102" t="n">
        <v>49</v>
      </c>
      <c r="B57" s="102" t="s">
        <v>276</v>
      </c>
      <c r="C57" s="102" t="s">
        <v>128</v>
      </c>
      <c r="D57" s="114" t="n">
        <v>44.8</v>
      </c>
      <c r="E57" s="115" t="s">
        <v>87</v>
      </c>
      <c r="F57" s="105" t="n">
        <v>0.280618873272706</v>
      </c>
      <c r="G57" s="105" t="n">
        <v>1</v>
      </c>
      <c r="H57" s="106" t="n">
        <v>1.64714527167846E-005</v>
      </c>
      <c r="I57" s="107" t="n">
        <v>254.01</v>
      </c>
      <c r="J57" s="102" t="s">
        <v>250</v>
      </c>
      <c r="K57" s="102" t="s">
        <v>70</v>
      </c>
    </row>
    <row r="58" customFormat="false" ht="15" hidden="false" customHeight="false" outlineLevel="0" collapsed="false">
      <c r="A58" s="108" t="n">
        <v>50</v>
      </c>
      <c r="B58" s="108" t="s">
        <v>277</v>
      </c>
      <c r="C58" s="108" t="s">
        <v>86</v>
      </c>
      <c r="D58" s="116" t="n">
        <v>44.4</v>
      </c>
      <c r="E58" s="117" t="s">
        <v>87</v>
      </c>
      <c r="F58" s="111" t="n">
        <v>0.283052724856004</v>
      </c>
      <c r="G58" s="111" t="n">
        <v>1</v>
      </c>
      <c r="H58" s="112" t="n">
        <v>2.04899398820897E-005</v>
      </c>
      <c r="I58" s="113" t="n">
        <v>315.98</v>
      </c>
      <c r="J58" s="108" t="s">
        <v>250</v>
      </c>
      <c r="K58" s="108" t="s">
        <v>70</v>
      </c>
    </row>
    <row r="59" customFormat="false" ht="15" hidden="false" customHeight="false" outlineLevel="0" collapsed="false">
      <c r="A59" s="102" t="n">
        <v>51</v>
      </c>
      <c r="B59" s="102" t="s">
        <v>278</v>
      </c>
      <c r="C59" s="102" t="s">
        <v>126</v>
      </c>
      <c r="D59" s="114" t="n">
        <v>44.3</v>
      </c>
      <c r="E59" s="115" t="s">
        <v>87</v>
      </c>
      <c r="F59" s="105" t="n">
        <v>0.284792101765711</v>
      </c>
      <c r="G59" s="105" t="n">
        <v>1</v>
      </c>
      <c r="H59" s="106" t="n">
        <v>9.5631823977817E-005</v>
      </c>
      <c r="I59" s="107" t="n">
        <v>1474.76</v>
      </c>
      <c r="J59" s="102" t="s">
        <v>250</v>
      </c>
      <c r="K59" s="102" t="s">
        <v>72</v>
      </c>
    </row>
    <row r="60" customFormat="false" ht="15" hidden="false" customHeight="false" outlineLevel="0" collapsed="false">
      <c r="A60" s="108" t="n">
        <v>52</v>
      </c>
      <c r="B60" s="108" t="s">
        <v>279</v>
      </c>
      <c r="C60" s="108" t="s">
        <v>126</v>
      </c>
      <c r="D60" s="116" t="n">
        <v>44.2</v>
      </c>
      <c r="E60" s="117" t="s">
        <v>87</v>
      </c>
      <c r="F60" s="111" t="n">
        <v>0.284495488105004</v>
      </c>
      <c r="G60" s="111" t="n">
        <v>1</v>
      </c>
      <c r="H60" s="112" t="n">
        <v>3.95234456552113E-005</v>
      </c>
      <c r="I60" s="113" t="n">
        <v>609.5</v>
      </c>
      <c r="J60" s="108" t="s">
        <v>250</v>
      </c>
      <c r="K60" s="108" t="s">
        <v>70</v>
      </c>
    </row>
    <row r="61" customFormat="false" ht="15" hidden="false" customHeight="false" outlineLevel="0" collapsed="false">
      <c r="A61" s="102" t="n">
        <v>53</v>
      </c>
      <c r="B61" s="102" t="s">
        <v>280</v>
      </c>
      <c r="C61" s="102" t="s">
        <v>86</v>
      </c>
      <c r="D61" s="114" t="n">
        <v>44</v>
      </c>
      <c r="E61" s="115" t="s">
        <v>87</v>
      </c>
      <c r="F61" s="105" t="n">
        <v>0.287155006679918</v>
      </c>
      <c r="G61" s="105" t="n">
        <v>1</v>
      </c>
      <c r="H61" s="106" t="n">
        <v>0.0001592039407662</v>
      </c>
      <c r="I61" s="107" t="n">
        <v>2455.12</v>
      </c>
      <c r="J61" s="102" t="s">
        <v>250</v>
      </c>
      <c r="K61" s="102" t="s">
        <v>72</v>
      </c>
    </row>
    <row r="62" customFormat="false" ht="15" hidden="false" customHeight="false" outlineLevel="0" collapsed="false">
      <c r="A62" s="108" t="n">
        <v>54</v>
      </c>
      <c r="B62" s="108" t="s">
        <v>281</v>
      </c>
      <c r="C62" s="108" t="s">
        <v>86</v>
      </c>
      <c r="D62" s="116" t="n">
        <v>44</v>
      </c>
      <c r="E62" s="117" t="s">
        <v>87</v>
      </c>
      <c r="F62" s="111" t="n">
        <v>0.285626709421862</v>
      </c>
      <c r="G62" s="111" t="n">
        <v>1</v>
      </c>
      <c r="H62" s="112" t="n">
        <v>1.37511761864547E-005</v>
      </c>
      <c r="I62" s="113" t="n">
        <v>212.06</v>
      </c>
      <c r="J62" s="108" t="s">
        <v>250</v>
      </c>
      <c r="K62" s="108" t="s">
        <v>70</v>
      </c>
    </row>
    <row r="63" customFormat="false" ht="15" hidden="false" customHeight="false" outlineLevel="0" collapsed="false">
      <c r="A63" s="102" t="n">
        <v>55</v>
      </c>
      <c r="B63" s="102" t="s">
        <v>282</v>
      </c>
      <c r="C63" s="102" t="s">
        <v>86</v>
      </c>
      <c r="D63" s="114" t="n">
        <v>43.9</v>
      </c>
      <c r="E63" s="115" t="s">
        <v>87</v>
      </c>
      <c r="F63" s="105" t="n">
        <v>0.286434561086933</v>
      </c>
      <c r="G63" s="105" t="n">
        <v>1</v>
      </c>
      <c r="H63" s="106" t="n">
        <v>1.22182241679326E-005</v>
      </c>
      <c r="I63" s="107" t="n">
        <v>188.42</v>
      </c>
      <c r="J63" s="102" t="s">
        <v>250</v>
      </c>
      <c r="K63" s="102" t="s">
        <v>70</v>
      </c>
    </row>
    <row r="64" customFormat="false" ht="15" hidden="false" customHeight="false" outlineLevel="0" collapsed="false">
      <c r="A64" s="108" t="n">
        <v>56</v>
      </c>
      <c r="B64" s="108" t="s">
        <v>283</v>
      </c>
      <c r="C64" s="108" t="s">
        <v>86</v>
      </c>
      <c r="D64" s="116" t="n">
        <v>43.9</v>
      </c>
      <c r="E64" s="117" t="s">
        <v>87</v>
      </c>
      <c r="F64" s="111" t="n">
        <v>0.286435632442148</v>
      </c>
      <c r="G64" s="111" t="n">
        <v>1</v>
      </c>
      <c r="H64" s="112" t="n">
        <v>1.15451259466018E-005</v>
      </c>
      <c r="I64" s="113" t="n">
        <v>178.04</v>
      </c>
      <c r="J64" s="108" t="s">
        <v>250</v>
      </c>
      <c r="K64" s="108" t="s">
        <v>70</v>
      </c>
    </row>
    <row r="65" customFormat="false" ht="15" hidden="false" customHeight="false" outlineLevel="0" collapsed="false">
      <c r="A65" s="102" t="n">
        <v>57</v>
      </c>
      <c r="B65" s="102" t="s">
        <v>284</v>
      </c>
      <c r="C65" s="102" t="s">
        <v>128</v>
      </c>
      <c r="D65" s="114" t="n">
        <v>43.9</v>
      </c>
      <c r="E65" s="115" t="s">
        <v>87</v>
      </c>
      <c r="F65" s="105" t="n">
        <v>0.291626518120658</v>
      </c>
      <c r="G65" s="105" t="n">
        <v>1</v>
      </c>
      <c r="H65" s="106" t="n">
        <v>0.00044887545652</v>
      </c>
      <c r="I65" s="107" t="n">
        <v>6922.21</v>
      </c>
      <c r="J65" s="102" t="s">
        <v>250</v>
      </c>
      <c r="K65" s="102" t="s">
        <v>72</v>
      </c>
    </row>
    <row r="66" customFormat="false" ht="15" hidden="false" customHeight="false" outlineLevel="0" collapsed="false">
      <c r="A66" s="108" t="n">
        <v>58</v>
      </c>
      <c r="B66" s="108" t="s">
        <v>285</v>
      </c>
      <c r="C66" s="108" t="s">
        <v>86</v>
      </c>
      <c r="D66" s="116" t="n">
        <v>43.7</v>
      </c>
      <c r="E66" s="117" t="s">
        <v>87</v>
      </c>
      <c r="F66" s="111" t="n">
        <v>0.28803611738149</v>
      </c>
      <c r="G66" s="111" t="n">
        <v>1</v>
      </c>
      <c r="H66" s="112" t="n">
        <v>2.15449791943297E-005</v>
      </c>
      <c r="I66" s="113" t="n">
        <v>332.25</v>
      </c>
      <c r="J66" s="108" t="s">
        <v>250</v>
      </c>
      <c r="K66" s="108" t="s">
        <v>70</v>
      </c>
    </row>
    <row r="67" customFormat="false" ht="15" hidden="false" customHeight="false" outlineLevel="0" collapsed="false">
      <c r="A67" s="102" t="n">
        <v>59</v>
      </c>
      <c r="B67" s="102" t="s">
        <v>286</v>
      </c>
      <c r="C67" s="102" t="s">
        <v>86</v>
      </c>
      <c r="D67" s="114" t="n">
        <v>43.2</v>
      </c>
      <c r="E67" s="115" t="s">
        <v>87</v>
      </c>
      <c r="F67" s="105" t="n">
        <v>0.237332379561975</v>
      </c>
      <c r="G67" s="105" t="n">
        <v>0.101449275362319</v>
      </c>
      <c r="H67" s="106" t="n">
        <v>0.015301229957762</v>
      </c>
      <c r="I67" s="107" t="n">
        <v>235963.73</v>
      </c>
      <c r="J67" s="102" t="s">
        <v>250</v>
      </c>
      <c r="K67" s="102" t="s">
        <v>71</v>
      </c>
    </row>
    <row r="68" customFormat="false" ht="15" hidden="false" customHeight="false" outlineLevel="0" collapsed="false">
      <c r="A68" s="108" t="n">
        <v>60</v>
      </c>
      <c r="B68" s="108" t="s">
        <v>287</v>
      </c>
      <c r="C68" s="108" t="s">
        <v>86</v>
      </c>
      <c r="D68" s="116" t="n">
        <v>43</v>
      </c>
      <c r="E68" s="117" t="s">
        <v>87</v>
      </c>
      <c r="F68" s="111" t="n">
        <v>0.293323454581039</v>
      </c>
      <c r="G68" s="111" t="n">
        <v>1</v>
      </c>
      <c r="H68" s="112" t="n">
        <v>4.63867130680867E-005</v>
      </c>
      <c r="I68" s="113" t="n">
        <v>715.34</v>
      </c>
      <c r="J68" s="108" t="s">
        <v>250</v>
      </c>
      <c r="K68" s="108" t="s">
        <v>70</v>
      </c>
    </row>
    <row r="69" customFormat="false" ht="15" hidden="false" customHeight="false" outlineLevel="0" collapsed="false">
      <c r="A69" s="102" t="n">
        <v>61</v>
      </c>
      <c r="B69" s="102" t="s">
        <v>288</v>
      </c>
      <c r="C69" s="102" t="s">
        <v>86</v>
      </c>
      <c r="D69" s="114" t="n">
        <v>42.8</v>
      </c>
      <c r="E69" s="115" t="s">
        <v>87</v>
      </c>
      <c r="F69" s="105" t="n">
        <v>0.295463865701851</v>
      </c>
      <c r="G69" s="105" t="n">
        <v>1</v>
      </c>
      <c r="H69" s="106" t="n">
        <v>9.80375989307429E-005</v>
      </c>
      <c r="I69" s="107" t="n">
        <v>1511.86</v>
      </c>
      <c r="J69" s="102" t="s">
        <v>250</v>
      </c>
      <c r="K69" s="102" t="s">
        <v>72</v>
      </c>
    </row>
    <row r="70" customFormat="false" ht="15" hidden="false" customHeight="false" outlineLevel="0" collapsed="false">
      <c r="A70" s="108" t="n">
        <v>62</v>
      </c>
      <c r="B70" s="108" t="s">
        <v>289</v>
      </c>
      <c r="C70" s="108" t="s">
        <v>86</v>
      </c>
      <c r="D70" s="116" t="n">
        <v>42.5</v>
      </c>
      <c r="E70" s="117" t="s">
        <v>87</v>
      </c>
      <c r="F70" s="111" t="n">
        <v>0.173871975615071</v>
      </c>
      <c r="G70" s="111" t="n">
        <v>0.5</v>
      </c>
      <c r="H70" s="112" t="n">
        <v>4.19130091866216E-005</v>
      </c>
      <c r="I70" s="113" t="n">
        <v>646.35</v>
      </c>
      <c r="J70" s="108" t="s">
        <v>250</v>
      </c>
      <c r="K70" s="108" t="s">
        <v>69</v>
      </c>
    </row>
    <row r="71" customFormat="false" ht="15" hidden="false" customHeight="false" outlineLevel="0" collapsed="false">
      <c r="A71" s="102" t="n">
        <v>63</v>
      </c>
      <c r="B71" s="102" t="s">
        <v>290</v>
      </c>
      <c r="C71" s="102" t="s">
        <v>86</v>
      </c>
      <c r="D71" s="114" t="n">
        <v>42.2</v>
      </c>
      <c r="E71" s="115" t="s">
        <v>87</v>
      </c>
      <c r="F71" s="105" t="n">
        <v>0.21739332957008</v>
      </c>
      <c r="G71" s="105" t="n">
        <v>0.666666666666667</v>
      </c>
      <c r="H71" s="106" t="n">
        <v>0.0001006774668103</v>
      </c>
      <c r="I71" s="107" t="n">
        <v>1552.57</v>
      </c>
      <c r="J71" s="102" t="s">
        <v>250</v>
      </c>
      <c r="K71" s="102" t="s">
        <v>71</v>
      </c>
    </row>
    <row r="72" customFormat="false" ht="15" hidden="false" customHeight="false" outlineLevel="0" collapsed="false">
      <c r="A72" s="108" t="n">
        <v>64</v>
      </c>
      <c r="B72" s="108" t="s">
        <v>291</v>
      </c>
      <c r="C72" s="108" t="s">
        <v>86</v>
      </c>
      <c r="D72" s="116" t="n">
        <v>41.7</v>
      </c>
      <c r="E72" s="117" t="s">
        <v>87</v>
      </c>
      <c r="F72" s="111" t="n">
        <v>0.179243490572001</v>
      </c>
      <c r="G72" s="111" t="n">
        <v>0.5</v>
      </c>
      <c r="H72" s="112" t="n">
        <v>1.41888845673778E-005</v>
      </c>
      <c r="I72" s="113" t="n">
        <v>218.81</v>
      </c>
      <c r="J72" s="108" t="s">
        <v>250</v>
      </c>
      <c r="K72" s="108" t="s">
        <v>69</v>
      </c>
    </row>
    <row r="73" customFormat="false" ht="15" hidden="false" customHeight="false" outlineLevel="0" collapsed="false">
      <c r="A73" s="102" t="n">
        <v>65</v>
      </c>
      <c r="B73" s="102" t="s">
        <v>292</v>
      </c>
      <c r="C73" s="102" t="s">
        <v>86</v>
      </c>
      <c r="D73" s="114" t="n">
        <v>41.5</v>
      </c>
      <c r="E73" s="115" t="s">
        <v>87</v>
      </c>
      <c r="F73" s="105" t="n">
        <v>0.250146539474557</v>
      </c>
      <c r="G73" s="105" t="n">
        <v>0.112398609501738</v>
      </c>
      <c r="H73" s="106" t="n">
        <v>0.0151452222608618</v>
      </c>
      <c r="I73" s="107" t="n">
        <v>233557.9</v>
      </c>
      <c r="J73" s="102" t="s">
        <v>250</v>
      </c>
      <c r="K73" s="102" t="s">
        <v>72</v>
      </c>
    </row>
    <row r="74" customFormat="false" ht="15" hidden="false" customHeight="false" outlineLevel="0" collapsed="false">
      <c r="A74" s="108" t="n">
        <v>66</v>
      </c>
      <c r="B74" s="108" t="s">
        <v>293</v>
      </c>
      <c r="C74" s="108" t="s">
        <v>86</v>
      </c>
      <c r="D74" s="116" t="n">
        <v>40.9</v>
      </c>
      <c r="E74" s="117" t="s">
        <v>87</v>
      </c>
      <c r="F74" s="111" t="n">
        <v>0.184867638483433</v>
      </c>
      <c r="G74" s="111" t="n">
        <v>0.5</v>
      </c>
      <c r="H74" s="112" t="n">
        <v>8.15304810866238E-006</v>
      </c>
      <c r="I74" s="113" t="n">
        <v>125.73</v>
      </c>
      <c r="J74" s="108" t="s">
        <v>250</v>
      </c>
      <c r="K74" s="108" t="s">
        <v>69</v>
      </c>
    </row>
    <row r="75" customFormat="false" ht="15" hidden="false" customHeight="false" outlineLevel="0" collapsed="false">
      <c r="A75" s="102" t="n">
        <v>67</v>
      </c>
      <c r="B75" s="102" t="s">
        <v>294</v>
      </c>
      <c r="C75" s="102" t="s">
        <v>107</v>
      </c>
      <c r="D75" s="114" t="n">
        <v>40.4</v>
      </c>
      <c r="E75" s="115" t="s">
        <v>87</v>
      </c>
      <c r="F75" s="105" t="n">
        <v>0.23122939333458</v>
      </c>
      <c r="G75" s="105" t="n">
        <v>0.666666666666667</v>
      </c>
      <c r="H75" s="106" t="n">
        <v>0.0001738344244557</v>
      </c>
      <c r="I75" s="107" t="n">
        <v>2680.74</v>
      </c>
      <c r="J75" s="102" t="s">
        <v>250</v>
      </c>
      <c r="K75" s="102" t="s">
        <v>71</v>
      </c>
    </row>
    <row r="76" customFormat="false" ht="15" hidden="false" customHeight="false" outlineLevel="0" collapsed="false">
      <c r="A76" s="108" t="n">
        <v>68</v>
      </c>
      <c r="B76" s="108" t="s">
        <v>295</v>
      </c>
      <c r="C76" s="108" t="s">
        <v>86</v>
      </c>
      <c r="D76" s="116" t="n">
        <v>40</v>
      </c>
      <c r="E76" s="117" t="s">
        <v>87</v>
      </c>
      <c r="F76" s="111" t="n">
        <v>0.0679450041943673</v>
      </c>
      <c r="G76" s="111" t="n">
        <v>0</v>
      </c>
      <c r="H76" s="112" t="n">
        <v>3.52890223553175E-006</v>
      </c>
      <c r="I76" s="113" t="n">
        <v>54.42</v>
      </c>
      <c r="J76" s="108" t="s">
        <v>250</v>
      </c>
      <c r="K76" s="108" t="s">
        <v>69</v>
      </c>
    </row>
    <row r="77" customFormat="false" ht="15" hidden="false" customHeight="false" outlineLevel="0" collapsed="false">
      <c r="A77" s="102" t="n">
        <v>69</v>
      </c>
      <c r="B77" s="102" t="s">
        <v>296</v>
      </c>
      <c r="C77" s="102" t="s">
        <v>86</v>
      </c>
      <c r="D77" s="114" t="n">
        <v>39.9</v>
      </c>
      <c r="E77" s="115" t="s">
        <v>87</v>
      </c>
      <c r="F77" s="105" t="n">
        <v>0.272609163441486</v>
      </c>
      <c r="G77" s="105" t="n">
        <v>0.116383169203223</v>
      </c>
      <c r="H77" s="106" t="n">
        <v>0.0160776967418747</v>
      </c>
      <c r="I77" s="107" t="n">
        <v>247937.8</v>
      </c>
      <c r="J77" s="102" t="s">
        <v>250</v>
      </c>
      <c r="K77" s="102" t="s">
        <v>72</v>
      </c>
    </row>
    <row r="78" customFormat="false" ht="15" hidden="false" customHeight="false" outlineLevel="0" collapsed="false">
      <c r="A78" s="108" t="n">
        <v>70</v>
      </c>
      <c r="B78" s="108" t="s">
        <v>297</v>
      </c>
      <c r="C78" s="108" t="s">
        <v>121</v>
      </c>
      <c r="D78" s="116" t="n">
        <v>39.3</v>
      </c>
      <c r="E78" s="117" t="s">
        <v>87</v>
      </c>
      <c r="F78" s="111" t="n">
        <v>0.195921062831187</v>
      </c>
      <c r="G78" s="111" t="n">
        <v>0.5</v>
      </c>
      <c r="H78" s="112" t="n">
        <v>2.32121617830016E-005</v>
      </c>
      <c r="I78" s="113" t="n">
        <v>357.96</v>
      </c>
      <c r="J78" s="108" t="s">
        <v>250</v>
      </c>
      <c r="K78" s="108" t="s">
        <v>69</v>
      </c>
    </row>
    <row r="79" customFormat="false" ht="15" hidden="false" customHeight="false" outlineLevel="0" collapsed="false">
      <c r="A79" s="102" t="n">
        <v>71</v>
      </c>
      <c r="B79" s="102" t="s">
        <v>298</v>
      </c>
      <c r="C79" s="102" t="s">
        <v>86</v>
      </c>
      <c r="D79" s="114" t="n">
        <v>39.2</v>
      </c>
      <c r="E79" s="115" t="s">
        <v>87</v>
      </c>
      <c r="F79" s="105" t="n">
        <v>0.196342593764658</v>
      </c>
      <c r="G79" s="105" t="n">
        <v>0.5</v>
      </c>
      <c r="H79" s="106" t="n">
        <v>6.90347173823429E-006</v>
      </c>
      <c r="I79" s="107" t="n">
        <v>106.46</v>
      </c>
      <c r="J79" s="102" t="s">
        <v>250</v>
      </c>
      <c r="K79" s="102" t="s">
        <v>69</v>
      </c>
    </row>
    <row r="80" customFormat="false" ht="15" hidden="false" customHeight="false" outlineLevel="0" collapsed="false">
      <c r="A80" s="108" t="n">
        <v>72</v>
      </c>
      <c r="B80" s="108" t="s">
        <v>299</v>
      </c>
      <c r="C80" s="108" t="s">
        <v>86</v>
      </c>
      <c r="D80" s="116" t="n">
        <v>39.2</v>
      </c>
      <c r="E80" s="117" t="s">
        <v>87</v>
      </c>
      <c r="F80" s="111" t="n">
        <v>0.196776263705953</v>
      </c>
      <c r="G80" s="111" t="n">
        <v>0.5</v>
      </c>
      <c r="H80" s="112" t="n">
        <v>7.83854653125832E-006</v>
      </c>
      <c r="I80" s="113" t="n">
        <v>120.88</v>
      </c>
      <c r="J80" s="108" t="s">
        <v>250</v>
      </c>
      <c r="K80" s="108" t="s">
        <v>69</v>
      </c>
    </row>
    <row r="81" customFormat="false" ht="15" hidden="false" customHeight="false" outlineLevel="0" collapsed="false">
      <c r="A81" s="102" t="n">
        <v>73</v>
      </c>
      <c r="B81" s="102" t="s">
        <v>300</v>
      </c>
      <c r="C81" s="102" t="s">
        <v>86</v>
      </c>
      <c r="D81" s="114" t="n">
        <v>38.9</v>
      </c>
      <c r="E81" s="115" t="s">
        <v>87</v>
      </c>
      <c r="F81" s="105" t="n">
        <v>0.19879437938241</v>
      </c>
      <c r="G81" s="105" t="n">
        <v>0.5</v>
      </c>
      <c r="H81" s="106" t="n">
        <v>1.11035268245149E-005</v>
      </c>
      <c r="I81" s="107" t="n">
        <v>171.23</v>
      </c>
      <c r="J81" s="102" t="s">
        <v>250</v>
      </c>
      <c r="K81" s="102" t="s">
        <v>69</v>
      </c>
    </row>
    <row r="82" customFormat="false" ht="15" hidden="false" customHeight="false" outlineLevel="0" collapsed="false">
      <c r="A82" s="108" t="n">
        <v>74</v>
      </c>
      <c r="B82" s="108" t="s">
        <v>301</v>
      </c>
      <c r="C82" s="108" t="s">
        <v>86</v>
      </c>
      <c r="D82" s="116" t="n">
        <v>38.2</v>
      </c>
      <c r="E82" s="117" t="s">
        <v>87</v>
      </c>
      <c r="F82" s="111" t="n">
        <v>0.244744110745979</v>
      </c>
      <c r="G82" s="111" t="n">
        <v>0.666666666666667</v>
      </c>
      <c r="H82" s="112" t="n">
        <v>1.63884502386244E-005</v>
      </c>
      <c r="I82" s="113" t="n">
        <v>252.73</v>
      </c>
      <c r="J82" s="108" t="s">
        <v>250</v>
      </c>
      <c r="K82" s="108" t="s">
        <v>70</v>
      </c>
    </row>
    <row r="83" customFormat="false" ht="15" hidden="false" customHeight="false" outlineLevel="0" collapsed="false">
      <c r="A83" s="102" t="n">
        <v>75</v>
      </c>
      <c r="B83" s="102" t="s">
        <v>302</v>
      </c>
      <c r="C83" s="102" t="s">
        <v>86</v>
      </c>
      <c r="D83" s="114" t="n">
        <v>37.9</v>
      </c>
      <c r="E83" s="115" t="s">
        <v>87</v>
      </c>
      <c r="F83" s="105" t="n">
        <v>0.246454581819806</v>
      </c>
      <c r="G83" s="105" t="n">
        <v>0.666666666666667</v>
      </c>
      <c r="H83" s="106" t="n">
        <v>1.59663048223563E-005</v>
      </c>
      <c r="I83" s="107" t="n">
        <v>246.22</v>
      </c>
      <c r="J83" s="102" t="s">
        <v>250</v>
      </c>
      <c r="K83" s="102" t="s">
        <v>70</v>
      </c>
    </row>
    <row r="84" customFormat="false" ht="15" hidden="false" customHeight="false" outlineLevel="0" collapsed="false">
      <c r="A84" s="108" t="n">
        <v>76</v>
      </c>
      <c r="B84" s="108" t="s">
        <v>303</v>
      </c>
      <c r="C84" s="108" t="s">
        <v>156</v>
      </c>
      <c r="D84" s="116" t="n">
        <v>37.9</v>
      </c>
      <c r="E84" s="117" t="s">
        <v>87</v>
      </c>
      <c r="F84" s="111" t="n">
        <v>0.205922721332421</v>
      </c>
      <c r="G84" s="111" t="n">
        <v>0.5</v>
      </c>
      <c r="H84" s="112" t="n">
        <v>5.23628914956245E-006</v>
      </c>
      <c r="I84" s="113" t="n">
        <v>80.75</v>
      </c>
      <c r="J84" s="108" t="s">
        <v>250</v>
      </c>
      <c r="K84" s="108" t="s">
        <v>69</v>
      </c>
    </row>
    <row r="85" customFormat="false" ht="15" hidden="false" customHeight="false" outlineLevel="0" collapsed="false">
      <c r="A85" s="102" t="n">
        <v>77</v>
      </c>
      <c r="B85" s="102" t="s">
        <v>304</v>
      </c>
      <c r="C85" s="102" t="s">
        <v>160</v>
      </c>
      <c r="D85" s="114" t="n">
        <v>37.8</v>
      </c>
      <c r="E85" s="115" t="s">
        <v>87</v>
      </c>
      <c r="F85" s="105" t="n">
        <v>0.18212026376851</v>
      </c>
      <c r="G85" s="105" t="n">
        <v>0.4</v>
      </c>
      <c r="H85" s="106" t="n">
        <v>4.08281408587927E-005</v>
      </c>
      <c r="I85" s="107" t="n">
        <v>629.62</v>
      </c>
      <c r="J85" s="102" t="s">
        <v>250</v>
      </c>
      <c r="K85" s="102" t="s">
        <v>69</v>
      </c>
    </row>
    <row r="86" customFormat="false" ht="15" hidden="false" customHeight="false" outlineLevel="0" collapsed="false">
      <c r="A86" s="108" t="n">
        <v>78</v>
      </c>
      <c r="B86" s="108" t="s">
        <v>305</v>
      </c>
      <c r="C86" s="108" t="s">
        <v>86</v>
      </c>
      <c r="D86" s="116" t="n">
        <v>37.2</v>
      </c>
      <c r="E86" s="117" t="s">
        <v>87</v>
      </c>
      <c r="F86" s="111" t="n">
        <v>0.169309645722607</v>
      </c>
      <c r="G86" s="111" t="n">
        <v>0.333333333333333</v>
      </c>
      <c r="H86" s="112" t="n">
        <v>6.57405565303581E-006</v>
      </c>
      <c r="I86" s="113" t="n">
        <v>101.38</v>
      </c>
      <c r="J86" s="108" t="s">
        <v>250</v>
      </c>
      <c r="K86" s="108" t="s">
        <v>69</v>
      </c>
    </row>
    <row r="87" customFormat="false" ht="15" hidden="false" customHeight="false" outlineLevel="0" collapsed="false">
      <c r="A87" s="102" t="n">
        <v>79</v>
      </c>
      <c r="B87" s="102" t="s">
        <v>306</v>
      </c>
      <c r="C87" s="102" t="s">
        <v>86</v>
      </c>
      <c r="D87" s="114" t="n">
        <v>37.2</v>
      </c>
      <c r="E87" s="115" t="s">
        <v>87</v>
      </c>
      <c r="F87" s="105" t="n">
        <v>0.235242671500784</v>
      </c>
      <c r="G87" s="105" t="n">
        <v>0.102449888641425</v>
      </c>
      <c r="H87" s="106" t="n">
        <v>0.0112042522771329</v>
      </c>
      <c r="I87" s="107" t="n">
        <v>172783.31</v>
      </c>
      <c r="J87" s="102" t="s">
        <v>250</v>
      </c>
      <c r="K87" s="102" t="s">
        <v>71</v>
      </c>
    </row>
    <row r="88" customFormat="false" ht="15" hidden="false" customHeight="false" outlineLevel="0" collapsed="false">
      <c r="A88" s="108" t="n">
        <v>80</v>
      </c>
      <c r="B88" s="108" t="s">
        <v>307</v>
      </c>
      <c r="C88" s="108" t="s">
        <v>86</v>
      </c>
      <c r="D88" s="116" t="n">
        <v>37</v>
      </c>
      <c r="E88" s="117" t="s">
        <v>87</v>
      </c>
      <c r="F88" s="111" t="n">
        <v>0.236675327334849</v>
      </c>
      <c r="G88" s="111" t="n">
        <v>0.6</v>
      </c>
      <c r="H88" s="112" t="n">
        <v>2.75691434295539E-005</v>
      </c>
      <c r="I88" s="113" t="n">
        <v>425.15</v>
      </c>
      <c r="J88" s="108" t="s">
        <v>250</v>
      </c>
      <c r="K88" s="108" t="s">
        <v>69</v>
      </c>
    </row>
    <row r="89" customFormat="false" ht="15" hidden="false" customHeight="false" outlineLevel="0" collapsed="false">
      <c r="A89" s="102" t="n">
        <v>81</v>
      </c>
      <c r="B89" s="102" t="s">
        <v>308</v>
      </c>
      <c r="C89" s="102" t="s">
        <v>86</v>
      </c>
      <c r="D89" s="114" t="n">
        <v>36.9</v>
      </c>
      <c r="E89" s="115" t="s">
        <v>87</v>
      </c>
      <c r="F89" s="105" t="n">
        <v>0.212519242582615</v>
      </c>
      <c r="G89" s="105" t="n">
        <v>0.5</v>
      </c>
      <c r="H89" s="106" t="n">
        <v>9.67627327427503E-006</v>
      </c>
      <c r="I89" s="107" t="n">
        <v>149.22</v>
      </c>
      <c r="J89" s="102" t="s">
        <v>250</v>
      </c>
      <c r="K89" s="102" t="s">
        <v>69</v>
      </c>
    </row>
    <row r="90" customFormat="false" ht="15" hidden="false" customHeight="false" outlineLevel="0" collapsed="false">
      <c r="A90" s="108" t="n">
        <v>82</v>
      </c>
      <c r="B90" s="108" t="s">
        <v>309</v>
      </c>
      <c r="C90" s="108" t="s">
        <v>128</v>
      </c>
      <c r="D90" s="116" t="n">
        <v>36.9</v>
      </c>
      <c r="E90" s="117" t="s">
        <v>87</v>
      </c>
      <c r="F90" s="111" t="n">
        <v>0.212787813045694</v>
      </c>
      <c r="G90" s="111" t="n">
        <v>0.5</v>
      </c>
      <c r="H90" s="112" t="n">
        <v>8.0596703207321E-006</v>
      </c>
      <c r="I90" s="113" t="n">
        <v>124.29</v>
      </c>
      <c r="J90" s="108" t="s">
        <v>250</v>
      </c>
      <c r="K90" s="108" t="s">
        <v>69</v>
      </c>
    </row>
    <row r="91" customFormat="false" ht="15" hidden="false" customHeight="false" outlineLevel="0" collapsed="false">
      <c r="A91" s="102" t="n">
        <v>83</v>
      </c>
      <c r="B91" s="102" t="s">
        <v>310</v>
      </c>
      <c r="C91" s="102" t="s">
        <v>107</v>
      </c>
      <c r="D91" s="114" t="n">
        <v>36.7</v>
      </c>
      <c r="E91" s="115" t="s">
        <v>87</v>
      </c>
      <c r="F91" s="105" t="n">
        <v>0.255889117593815</v>
      </c>
      <c r="G91" s="105" t="n">
        <v>0.666666666666667</v>
      </c>
      <c r="H91" s="106" t="n">
        <v>8.67901146831688E-005</v>
      </c>
      <c r="I91" s="107" t="n">
        <v>1338.41</v>
      </c>
      <c r="J91" s="102" t="s">
        <v>250</v>
      </c>
      <c r="K91" s="102" t="s">
        <v>72</v>
      </c>
    </row>
    <row r="92" customFormat="false" ht="15" hidden="false" customHeight="false" outlineLevel="0" collapsed="false">
      <c r="A92" s="108" t="n">
        <v>84</v>
      </c>
      <c r="B92" s="108" t="s">
        <v>311</v>
      </c>
      <c r="C92" s="108" t="s">
        <v>86</v>
      </c>
      <c r="D92" s="116" t="n">
        <v>36.6</v>
      </c>
      <c r="E92" s="117" t="s">
        <v>87</v>
      </c>
      <c r="F92" s="111" t="n">
        <v>0.214810952069981</v>
      </c>
      <c r="G92" s="111" t="n">
        <v>0.5</v>
      </c>
      <c r="H92" s="112" t="n">
        <v>1.64182792542132E-005</v>
      </c>
      <c r="I92" s="113" t="n">
        <v>253.19</v>
      </c>
      <c r="J92" s="108" t="s">
        <v>250</v>
      </c>
      <c r="K92" s="108" t="s">
        <v>69</v>
      </c>
    </row>
    <row r="93" customFormat="false" ht="15" hidden="false" customHeight="false" outlineLevel="0" collapsed="false">
      <c r="A93" s="102" t="n">
        <v>85</v>
      </c>
      <c r="B93" s="102" t="s">
        <v>312</v>
      </c>
      <c r="C93" s="102" t="s">
        <v>86</v>
      </c>
      <c r="D93" s="114" t="n">
        <v>36.6</v>
      </c>
      <c r="E93" s="115" t="s">
        <v>87</v>
      </c>
      <c r="F93" s="105" t="n">
        <v>0.190523606236454</v>
      </c>
      <c r="G93" s="105" t="n">
        <v>0.4</v>
      </c>
      <c r="H93" s="106" t="n">
        <v>1.5334059383245E-005</v>
      </c>
      <c r="I93" s="107" t="n">
        <v>236.47</v>
      </c>
      <c r="J93" s="102" t="s">
        <v>250</v>
      </c>
      <c r="K93" s="102" t="s">
        <v>69</v>
      </c>
    </row>
    <row r="94" customFormat="false" ht="15" hidden="false" customHeight="false" outlineLevel="0" collapsed="false">
      <c r="A94" s="108" t="n">
        <v>86</v>
      </c>
      <c r="B94" s="108" t="s">
        <v>313</v>
      </c>
      <c r="C94" s="108" t="s">
        <v>86</v>
      </c>
      <c r="D94" s="116" t="n">
        <v>36.3</v>
      </c>
      <c r="E94" s="117" t="s">
        <v>87</v>
      </c>
      <c r="F94" s="111" t="n">
        <v>0.258131704404402</v>
      </c>
      <c r="G94" s="111" t="n">
        <v>0.666666666666667</v>
      </c>
      <c r="H94" s="112" t="n">
        <v>2.63526383590178E-005</v>
      </c>
      <c r="I94" s="113" t="n">
        <v>406.39</v>
      </c>
      <c r="J94" s="108" t="s">
        <v>250</v>
      </c>
      <c r="K94" s="108" t="s">
        <v>70</v>
      </c>
    </row>
    <row r="95" customFormat="false" ht="15" hidden="false" customHeight="false" outlineLevel="0" collapsed="false">
      <c r="A95" s="102" t="n">
        <v>87</v>
      </c>
      <c r="B95" s="102" t="s">
        <v>314</v>
      </c>
      <c r="C95" s="102" t="s">
        <v>86</v>
      </c>
      <c r="D95" s="114" t="n">
        <v>36.2</v>
      </c>
      <c r="E95" s="115" t="s">
        <v>87</v>
      </c>
      <c r="F95" s="105" t="n">
        <v>0.187114525236097</v>
      </c>
      <c r="G95" s="105" t="n">
        <v>0.375</v>
      </c>
      <c r="H95" s="106" t="n">
        <v>1.93531950054107E-005</v>
      </c>
      <c r="I95" s="107" t="n">
        <v>298.45</v>
      </c>
      <c r="J95" s="102" t="s">
        <v>250</v>
      </c>
      <c r="K95" s="102" t="s">
        <v>69</v>
      </c>
    </row>
    <row r="96" customFormat="false" ht="15" hidden="false" customHeight="false" outlineLevel="0" collapsed="false">
      <c r="A96" s="108" t="n">
        <v>88</v>
      </c>
      <c r="B96" s="108" t="s">
        <v>315</v>
      </c>
      <c r="C96" s="108" t="s">
        <v>86</v>
      </c>
      <c r="D96" s="116" t="n">
        <v>36.1</v>
      </c>
      <c r="E96" s="117" t="s">
        <v>87</v>
      </c>
      <c r="F96" s="111" t="n">
        <v>0.19358759837221</v>
      </c>
      <c r="G96" s="111" t="n">
        <v>0.4</v>
      </c>
      <c r="H96" s="112" t="n">
        <v>1.7857853484805E-005</v>
      </c>
      <c r="I96" s="113" t="n">
        <v>275.39</v>
      </c>
      <c r="J96" s="108" t="s">
        <v>250</v>
      </c>
      <c r="K96" s="108" t="s">
        <v>69</v>
      </c>
    </row>
    <row r="97" customFormat="false" ht="15" hidden="false" customHeight="false" outlineLevel="0" collapsed="false">
      <c r="A97" s="102" t="n">
        <v>89</v>
      </c>
      <c r="B97" s="102" t="s">
        <v>316</v>
      </c>
      <c r="C97" s="102" t="s">
        <v>150</v>
      </c>
      <c r="D97" s="114" t="n">
        <v>35.8</v>
      </c>
      <c r="E97" s="115" t="s">
        <v>87</v>
      </c>
      <c r="F97" s="105" t="n">
        <v>0.262549603711056</v>
      </c>
      <c r="G97" s="105" t="n">
        <v>0.666666666666667</v>
      </c>
      <c r="H97" s="106" t="n">
        <v>8.16277496157178E-005</v>
      </c>
      <c r="I97" s="107" t="n">
        <v>1258.8</v>
      </c>
      <c r="J97" s="102" t="s">
        <v>250</v>
      </c>
      <c r="K97" s="102" t="s">
        <v>72</v>
      </c>
    </row>
    <row r="98" customFormat="false" ht="15" hidden="false" customHeight="false" outlineLevel="0" collapsed="false">
      <c r="A98" s="108" t="n">
        <v>90</v>
      </c>
      <c r="B98" s="108" t="s">
        <v>317</v>
      </c>
      <c r="C98" s="108" t="s">
        <v>121</v>
      </c>
      <c r="D98" s="116" t="n">
        <v>35.7</v>
      </c>
      <c r="E98" s="117" t="s">
        <v>87</v>
      </c>
      <c r="F98" s="111" t="n">
        <v>0.0978615440376948</v>
      </c>
      <c r="G98" s="111" t="n">
        <v>0</v>
      </c>
      <c r="H98" s="112" t="n">
        <v>1.7890924784697E-006</v>
      </c>
      <c r="I98" s="113" t="n">
        <v>27.59</v>
      </c>
      <c r="J98" s="108" t="s">
        <v>250</v>
      </c>
      <c r="K98" s="108" t="s">
        <v>69</v>
      </c>
    </row>
    <row r="99" customFormat="false" ht="15" hidden="false" customHeight="false" outlineLevel="0" collapsed="false">
      <c r="A99" s="102" t="n">
        <v>91</v>
      </c>
      <c r="B99" s="102" t="s">
        <v>318</v>
      </c>
      <c r="C99" s="102" t="s">
        <v>86</v>
      </c>
      <c r="D99" s="114" t="n">
        <v>35.7</v>
      </c>
      <c r="E99" s="115" t="s">
        <v>87</v>
      </c>
      <c r="F99" s="105" t="n">
        <v>0.248811551462315</v>
      </c>
      <c r="G99" s="105" t="n">
        <v>0.0772200772200772</v>
      </c>
      <c r="H99" s="106" t="n">
        <v>0.0120528806376099</v>
      </c>
      <c r="I99" s="107" t="n">
        <v>185870.2</v>
      </c>
      <c r="J99" s="102" t="s">
        <v>250</v>
      </c>
      <c r="K99" s="102" t="s">
        <v>72</v>
      </c>
    </row>
    <row r="100" customFormat="false" ht="15" hidden="false" customHeight="false" outlineLevel="0" collapsed="false">
      <c r="A100" s="108" t="n">
        <v>92</v>
      </c>
      <c r="B100" s="108" t="s">
        <v>319</v>
      </c>
      <c r="C100" s="108" t="s">
        <v>86</v>
      </c>
      <c r="D100" s="116" t="n">
        <v>35.6</v>
      </c>
      <c r="E100" s="117" t="s">
        <v>87</v>
      </c>
      <c r="F100" s="111" t="n">
        <v>0.221762671643017</v>
      </c>
      <c r="G100" s="111" t="n">
        <v>0.5</v>
      </c>
      <c r="H100" s="112" t="n">
        <v>1.23291102910998E-005</v>
      </c>
      <c r="I100" s="113" t="n">
        <v>190.13</v>
      </c>
      <c r="J100" s="108" t="s">
        <v>250</v>
      </c>
      <c r="K100" s="108" t="s">
        <v>69</v>
      </c>
    </row>
    <row r="101" customFormat="false" ht="15" hidden="false" customHeight="false" outlineLevel="0" collapsed="false">
      <c r="A101" s="102" t="n">
        <v>93</v>
      </c>
      <c r="B101" s="102" t="s">
        <v>320</v>
      </c>
      <c r="C101" s="102" t="s">
        <v>164</v>
      </c>
      <c r="D101" s="114" t="n">
        <v>35.6</v>
      </c>
      <c r="E101" s="115" t="s">
        <v>87</v>
      </c>
      <c r="F101" s="105" t="n">
        <v>0.222196602230982</v>
      </c>
      <c r="G101" s="105" t="n">
        <v>0.5</v>
      </c>
      <c r="H101" s="106" t="n">
        <v>1.61089653316942E-005</v>
      </c>
      <c r="I101" s="107" t="n">
        <v>248.42</v>
      </c>
      <c r="J101" s="102" t="s">
        <v>250</v>
      </c>
      <c r="K101" s="102" t="s">
        <v>69</v>
      </c>
    </row>
    <row r="102" customFormat="false" ht="15" hidden="false" customHeight="false" outlineLevel="0" collapsed="false">
      <c r="A102" s="108" t="n">
        <v>94</v>
      </c>
      <c r="B102" s="108" t="s">
        <v>321</v>
      </c>
      <c r="C102" s="108" t="s">
        <v>126</v>
      </c>
      <c r="D102" s="116" t="n">
        <v>35.5</v>
      </c>
      <c r="E102" s="117" t="s">
        <v>87</v>
      </c>
      <c r="F102" s="111" t="n">
        <v>0.222274108503815</v>
      </c>
      <c r="G102" s="111" t="n">
        <v>0.5</v>
      </c>
      <c r="H102" s="112" t="n">
        <v>1.18272046809746E-005</v>
      </c>
      <c r="I102" s="113" t="n">
        <v>182.39</v>
      </c>
      <c r="J102" s="108" t="s">
        <v>250</v>
      </c>
      <c r="K102" s="108" t="s">
        <v>69</v>
      </c>
    </row>
    <row r="103" customFormat="false" ht="15" hidden="false" customHeight="false" outlineLevel="0" collapsed="false">
      <c r="A103" s="102" t="n">
        <v>95</v>
      </c>
      <c r="B103" s="102" t="s">
        <v>322</v>
      </c>
      <c r="C103" s="102" t="s">
        <v>86</v>
      </c>
      <c r="D103" s="114" t="n">
        <v>35.5</v>
      </c>
      <c r="E103" s="115" t="s">
        <v>87</v>
      </c>
      <c r="F103" s="105" t="n">
        <v>0.263923033533712</v>
      </c>
      <c r="G103" s="105" t="n">
        <v>0.666666666666667</v>
      </c>
      <c r="H103" s="106" t="n">
        <v>2.52366441018788E-005</v>
      </c>
      <c r="I103" s="107" t="n">
        <v>389.18</v>
      </c>
      <c r="J103" s="102" t="s">
        <v>250</v>
      </c>
      <c r="K103" s="102" t="s">
        <v>70</v>
      </c>
    </row>
    <row r="104" customFormat="false" ht="15" hidden="false" customHeight="false" outlineLevel="0" collapsed="false">
      <c r="A104" s="108" t="n">
        <v>96</v>
      </c>
      <c r="B104" s="108" t="s">
        <v>323</v>
      </c>
      <c r="C104" s="108" t="s">
        <v>86</v>
      </c>
      <c r="D104" s="116" t="n">
        <v>35.5</v>
      </c>
      <c r="E104" s="117" t="s">
        <v>87</v>
      </c>
      <c r="F104" s="111" t="n">
        <v>0.223366237197656</v>
      </c>
      <c r="G104" s="111" t="n">
        <v>0.5</v>
      </c>
      <c r="H104" s="112" t="n">
        <v>5.27376995610669E-005</v>
      </c>
      <c r="I104" s="113" t="n">
        <v>813.28</v>
      </c>
      <c r="J104" s="108" t="s">
        <v>250</v>
      </c>
      <c r="K104" s="108" t="s">
        <v>69</v>
      </c>
    </row>
    <row r="105" customFormat="false" ht="15" hidden="false" customHeight="false" outlineLevel="0" collapsed="false">
      <c r="A105" s="102" t="n">
        <v>97</v>
      </c>
      <c r="B105" s="102" t="s">
        <v>324</v>
      </c>
      <c r="C105" s="102" t="s">
        <v>86</v>
      </c>
      <c r="D105" s="114" t="n">
        <v>35.4</v>
      </c>
      <c r="E105" s="115" t="s">
        <v>87</v>
      </c>
      <c r="F105" s="105" t="n">
        <v>0.227575282747791</v>
      </c>
      <c r="G105" s="105" t="n">
        <v>0.106936416184971</v>
      </c>
      <c r="H105" s="106" t="n">
        <v>0.0092339550135296</v>
      </c>
      <c r="I105" s="107" t="n">
        <v>142398.91</v>
      </c>
      <c r="J105" s="102" t="s">
        <v>250</v>
      </c>
      <c r="K105" s="102" t="s">
        <v>71</v>
      </c>
    </row>
    <row r="106" customFormat="false" ht="15" hidden="false" customHeight="false" outlineLevel="0" collapsed="false">
      <c r="A106" s="108" t="n">
        <v>98</v>
      </c>
      <c r="B106" s="108" t="s">
        <v>325</v>
      </c>
      <c r="C106" s="108" t="s">
        <v>86</v>
      </c>
      <c r="D106" s="116" t="n">
        <v>35.1</v>
      </c>
      <c r="E106" s="117" t="s">
        <v>87</v>
      </c>
      <c r="F106" s="111" t="n">
        <v>0.162528072287564</v>
      </c>
      <c r="G106" s="111" t="n">
        <v>0.235294117647059</v>
      </c>
      <c r="H106" s="112" t="n">
        <v>0.0002278061374225</v>
      </c>
      <c r="I106" s="113" t="n">
        <v>3513.05</v>
      </c>
      <c r="J106" s="108" t="s">
        <v>250</v>
      </c>
      <c r="K106" s="108" t="s">
        <v>71</v>
      </c>
    </row>
    <row r="107" customFormat="false" ht="15" hidden="false" customHeight="false" outlineLevel="0" collapsed="false">
      <c r="A107" s="102" t="n">
        <v>99</v>
      </c>
      <c r="B107" s="102" t="s">
        <v>326</v>
      </c>
      <c r="C107" s="102" t="s">
        <v>91</v>
      </c>
      <c r="D107" s="114" t="n">
        <v>35</v>
      </c>
      <c r="E107" s="115" t="s">
        <v>87</v>
      </c>
      <c r="F107" s="105" t="n">
        <v>0.276962139635141</v>
      </c>
      <c r="G107" s="105" t="n">
        <v>0.043103448275862</v>
      </c>
      <c r="H107" s="106" t="n">
        <v>0.0149661917515819</v>
      </c>
      <c r="I107" s="107" t="n">
        <v>230797.03</v>
      </c>
      <c r="J107" s="102" t="s">
        <v>250</v>
      </c>
      <c r="K107" s="102" t="s">
        <v>72</v>
      </c>
    </row>
    <row r="108" customFormat="false" ht="15" hidden="false" customHeight="false" outlineLevel="0" collapsed="false">
      <c r="A108" s="108" t="n">
        <v>100</v>
      </c>
      <c r="B108" s="108" t="s">
        <v>327</v>
      </c>
      <c r="C108" s="108" t="s">
        <v>156</v>
      </c>
      <c r="D108" s="116" t="n">
        <v>35</v>
      </c>
      <c r="E108" s="117" t="s">
        <v>87</v>
      </c>
      <c r="F108" s="111" t="n">
        <v>0.348950214728805</v>
      </c>
      <c r="G108" s="111" t="n">
        <v>1</v>
      </c>
      <c r="H108" s="112" t="n">
        <v>8.153696565523E-006</v>
      </c>
      <c r="I108" s="113" t="n">
        <v>125.74</v>
      </c>
      <c r="J108" s="108" t="s">
        <v>250</v>
      </c>
      <c r="K108" s="108" t="s">
        <v>70</v>
      </c>
    </row>
    <row r="109" customFormat="false" ht="15" hidden="false" customHeight="false" outlineLevel="0" collapsed="false">
      <c r="A109" s="102" t="n">
        <v>101</v>
      </c>
      <c r="B109" s="102" t="s">
        <v>328</v>
      </c>
      <c r="C109" s="102" t="s">
        <v>156</v>
      </c>
      <c r="D109" s="114" t="n">
        <v>35</v>
      </c>
      <c r="E109" s="115" t="s">
        <v>87</v>
      </c>
      <c r="F109" s="105" t="n">
        <v>0.226311785181602</v>
      </c>
      <c r="G109" s="105" t="n">
        <v>0.5</v>
      </c>
      <c r="H109" s="106" t="n">
        <v>1.07403909825638E-005</v>
      </c>
      <c r="I109" s="107" t="n">
        <v>165.63</v>
      </c>
      <c r="J109" s="102" t="s">
        <v>250</v>
      </c>
      <c r="K109" s="102" t="s">
        <v>69</v>
      </c>
    </row>
    <row r="110" customFormat="false" ht="15" hidden="false" customHeight="false" outlineLevel="0" collapsed="false">
      <c r="A110" s="108" t="n">
        <v>102</v>
      </c>
      <c r="B110" s="108" t="s">
        <v>329</v>
      </c>
      <c r="C110" s="108" t="s">
        <v>86</v>
      </c>
      <c r="D110" s="116" t="n">
        <v>34.9</v>
      </c>
      <c r="E110" s="117" t="s">
        <v>87</v>
      </c>
      <c r="F110" s="111" t="n">
        <v>0.185733540610525</v>
      </c>
      <c r="G110" s="111" t="n">
        <v>0.333333333333333</v>
      </c>
      <c r="H110" s="112" t="n">
        <v>8.12321909307354E-006</v>
      </c>
      <c r="I110" s="113" t="n">
        <v>125.27</v>
      </c>
      <c r="J110" s="108" t="s">
        <v>250</v>
      </c>
      <c r="K110" s="108" t="s">
        <v>69</v>
      </c>
    </row>
    <row r="111" customFormat="false" ht="15" hidden="false" customHeight="false" outlineLevel="0" collapsed="false">
      <c r="A111" s="102" t="n">
        <v>103</v>
      </c>
      <c r="B111" s="102" t="s">
        <v>330</v>
      </c>
      <c r="C111" s="102" t="s">
        <v>86</v>
      </c>
      <c r="D111" s="114" t="n">
        <v>34.9</v>
      </c>
      <c r="E111" s="115" t="s">
        <v>87</v>
      </c>
      <c r="F111" s="105" t="n">
        <v>0.202662444196752</v>
      </c>
      <c r="G111" s="105" t="n">
        <v>0.4</v>
      </c>
      <c r="H111" s="106" t="n">
        <v>5.13318450872277E-005</v>
      </c>
      <c r="I111" s="107" t="n">
        <v>791.6</v>
      </c>
      <c r="J111" s="102" t="s">
        <v>250</v>
      </c>
      <c r="K111" s="102" t="s">
        <v>69</v>
      </c>
    </row>
    <row r="112" customFormat="false" ht="15" hidden="false" customHeight="false" outlineLevel="0" collapsed="false">
      <c r="A112" s="108" t="n">
        <v>104</v>
      </c>
      <c r="B112" s="108" t="s">
        <v>331</v>
      </c>
      <c r="C112" s="108" t="s">
        <v>160</v>
      </c>
      <c r="D112" s="116" t="n">
        <v>34.8</v>
      </c>
      <c r="E112" s="117" t="s">
        <v>87</v>
      </c>
      <c r="F112" s="111" t="n">
        <v>0.227631123047284</v>
      </c>
      <c r="G112" s="111" t="n">
        <v>0.5</v>
      </c>
      <c r="H112" s="112" t="n">
        <v>1.19076133316923E-005</v>
      </c>
      <c r="I112" s="113" t="n">
        <v>183.63</v>
      </c>
      <c r="J112" s="108" t="s">
        <v>250</v>
      </c>
      <c r="K112" s="108" t="s">
        <v>69</v>
      </c>
    </row>
    <row r="113" customFormat="false" ht="15" hidden="false" customHeight="false" outlineLevel="0" collapsed="false">
      <c r="A113" s="102" t="n">
        <v>105</v>
      </c>
      <c r="B113" s="102" t="s">
        <v>332</v>
      </c>
      <c r="C113" s="102" t="s">
        <v>128</v>
      </c>
      <c r="D113" s="114" t="n">
        <v>34.6</v>
      </c>
      <c r="E113" s="115" t="s">
        <v>87</v>
      </c>
      <c r="F113" s="105" t="n">
        <v>0.228638853493287</v>
      </c>
      <c r="G113" s="105" t="n">
        <v>0.5</v>
      </c>
      <c r="H113" s="106" t="n">
        <v>8.06226414817461E-006</v>
      </c>
      <c r="I113" s="107" t="n">
        <v>124.33</v>
      </c>
      <c r="J113" s="102" t="s">
        <v>250</v>
      </c>
      <c r="K113" s="102" t="s">
        <v>69</v>
      </c>
    </row>
    <row r="114" customFormat="false" ht="15" hidden="false" customHeight="false" outlineLevel="0" collapsed="false">
      <c r="A114" s="108" t="n">
        <v>106</v>
      </c>
      <c r="B114" s="108" t="s">
        <v>333</v>
      </c>
      <c r="C114" s="108" t="s">
        <v>128</v>
      </c>
      <c r="D114" s="116" t="n">
        <v>34.6</v>
      </c>
      <c r="E114" s="117" t="s">
        <v>87</v>
      </c>
      <c r="F114" s="111" t="n">
        <v>0.106201275690999</v>
      </c>
      <c r="G114" s="111" t="n">
        <v>0</v>
      </c>
      <c r="H114" s="112" t="n">
        <v>1.82994526068919E-006</v>
      </c>
      <c r="I114" s="113" t="n">
        <v>28.22</v>
      </c>
      <c r="J114" s="108" t="s">
        <v>250</v>
      </c>
      <c r="K114" s="108" t="s">
        <v>69</v>
      </c>
    </row>
    <row r="115" customFormat="false" ht="15" hidden="false" customHeight="false" outlineLevel="0" collapsed="false">
      <c r="A115" s="102" t="n">
        <v>107</v>
      </c>
      <c r="B115" s="102" t="s">
        <v>334</v>
      </c>
      <c r="C115" s="102" t="s">
        <v>86</v>
      </c>
      <c r="D115" s="114" t="n">
        <v>34.5</v>
      </c>
      <c r="E115" s="115" t="s">
        <v>87</v>
      </c>
      <c r="F115" s="105" t="n">
        <v>0.27083276251052</v>
      </c>
      <c r="G115" s="105" t="n">
        <v>0.666666666666667</v>
      </c>
      <c r="H115" s="106" t="n">
        <v>6.17317962179624E-005</v>
      </c>
      <c r="I115" s="107" t="n">
        <v>951.98</v>
      </c>
      <c r="J115" s="102" t="s">
        <v>250</v>
      </c>
      <c r="K115" s="102" t="s">
        <v>70</v>
      </c>
    </row>
    <row r="116" customFormat="false" ht="15" hidden="false" customHeight="false" outlineLevel="0" collapsed="false">
      <c r="A116" s="108" t="n">
        <v>108</v>
      </c>
      <c r="B116" s="108" t="s">
        <v>335</v>
      </c>
      <c r="C116" s="108" t="s">
        <v>86</v>
      </c>
      <c r="D116" s="116" t="n">
        <v>34.5</v>
      </c>
      <c r="E116" s="117" t="s">
        <v>87</v>
      </c>
      <c r="F116" s="111" t="n">
        <v>0.167957432163119</v>
      </c>
      <c r="G116" s="111" t="n">
        <v>0.25</v>
      </c>
      <c r="H116" s="112" t="n">
        <v>1.18161809143439E-005</v>
      </c>
      <c r="I116" s="113" t="n">
        <v>182.22</v>
      </c>
      <c r="J116" s="108" t="s">
        <v>250</v>
      </c>
      <c r="K116" s="108" t="s">
        <v>69</v>
      </c>
    </row>
    <row r="117" customFormat="false" ht="15" hidden="false" customHeight="false" outlineLevel="0" collapsed="false">
      <c r="A117" s="102" t="n">
        <v>109</v>
      </c>
      <c r="B117" s="102" t="s">
        <v>336</v>
      </c>
      <c r="C117" s="102" t="s">
        <v>86</v>
      </c>
      <c r="D117" s="114" t="n">
        <v>34.4</v>
      </c>
      <c r="E117" s="115" t="s">
        <v>87</v>
      </c>
      <c r="F117" s="105" t="n">
        <v>0.248103675235499</v>
      </c>
      <c r="G117" s="105" t="n">
        <v>0.571428571428571</v>
      </c>
      <c r="H117" s="106" t="n">
        <v>3.99066836598418E-005</v>
      </c>
      <c r="I117" s="107" t="n">
        <v>615.41</v>
      </c>
      <c r="J117" s="102" t="s">
        <v>250</v>
      </c>
      <c r="K117" s="102" t="s">
        <v>70</v>
      </c>
    </row>
    <row r="118" customFormat="false" ht="15" hidden="false" customHeight="false" outlineLevel="0" collapsed="false">
      <c r="A118" s="108" t="n">
        <v>110</v>
      </c>
      <c r="B118" s="108" t="s">
        <v>337</v>
      </c>
      <c r="C118" s="108" t="s">
        <v>86</v>
      </c>
      <c r="D118" s="116" t="n">
        <v>34.4</v>
      </c>
      <c r="E118" s="117" t="s">
        <v>87</v>
      </c>
      <c r="F118" s="111" t="n">
        <v>0.189410584033153</v>
      </c>
      <c r="G118" s="111" t="n">
        <v>0.333333333333333</v>
      </c>
      <c r="H118" s="112" t="n">
        <v>8.66338365797577E-006</v>
      </c>
      <c r="I118" s="113" t="n">
        <v>133.6</v>
      </c>
      <c r="J118" s="108" t="s">
        <v>250</v>
      </c>
      <c r="K118" s="108" t="s">
        <v>69</v>
      </c>
    </row>
    <row r="119" customFormat="false" ht="15" hidden="false" customHeight="false" outlineLevel="0" collapsed="false">
      <c r="A119" s="102" t="n">
        <v>111</v>
      </c>
      <c r="B119" s="102" t="s">
        <v>338</v>
      </c>
      <c r="C119" s="102" t="s">
        <v>107</v>
      </c>
      <c r="D119" s="114" t="n">
        <v>34.3</v>
      </c>
      <c r="E119" s="115" t="s">
        <v>87</v>
      </c>
      <c r="F119" s="105" t="n">
        <v>0.233623121177868</v>
      </c>
      <c r="G119" s="105" t="n">
        <v>0.5</v>
      </c>
      <c r="H119" s="106" t="n">
        <v>0.0002720574820485</v>
      </c>
      <c r="I119" s="107" t="n">
        <v>4195.46</v>
      </c>
      <c r="J119" s="102" t="s">
        <v>250</v>
      </c>
      <c r="K119" s="102" t="s">
        <v>71</v>
      </c>
    </row>
    <row r="120" customFormat="false" ht="15" hidden="false" customHeight="false" outlineLevel="0" collapsed="false">
      <c r="A120" s="108" t="n">
        <v>112</v>
      </c>
      <c r="B120" s="108" t="s">
        <v>339</v>
      </c>
      <c r="C120" s="108" t="s">
        <v>86</v>
      </c>
      <c r="D120" s="116" t="n">
        <v>34.3</v>
      </c>
      <c r="E120" s="117" t="s">
        <v>87</v>
      </c>
      <c r="F120" s="111" t="n">
        <v>0.272600174996465</v>
      </c>
      <c r="G120" s="111" t="n">
        <v>0.666666666666667</v>
      </c>
      <c r="H120" s="112" t="n">
        <v>7.29831712067002E-005</v>
      </c>
      <c r="I120" s="113" t="n">
        <v>1125.49</v>
      </c>
      <c r="J120" s="108" t="s">
        <v>250</v>
      </c>
      <c r="K120" s="108" t="s">
        <v>72</v>
      </c>
    </row>
    <row r="121" customFormat="false" ht="15" hidden="false" customHeight="false" outlineLevel="0" collapsed="false">
      <c r="A121" s="102" t="n">
        <v>113</v>
      </c>
      <c r="B121" s="102" t="s">
        <v>340</v>
      </c>
      <c r="C121" s="102" t="s">
        <v>107</v>
      </c>
      <c r="D121" s="114" t="n">
        <v>34.3</v>
      </c>
      <c r="E121" s="115" t="s">
        <v>87</v>
      </c>
      <c r="F121" s="105" t="n">
        <v>0.169508043756301</v>
      </c>
      <c r="G121" s="105" t="n">
        <v>0.25</v>
      </c>
      <c r="H121" s="106" t="n">
        <v>1.29989662281274E-005</v>
      </c>
      <c r="I121" s="107" t="n">
        <v>200.46</v>
      </c>
      <c r="J121" s="102" t="s">
        <v>250</v>
      </c>
      <c r="K121" s="102" t="s">
        <v>69</v>
      </c>
    </row>
    <row r="122" customFormat="false" ht="15" hidden="false" customHeight="false" outlineLevel="0" collapsed="false">
      <c r="A122" s="108" t="n">
        <v>114</v>
      </c>
      <c r="B122" s="108" t="s">
        <v>341</v>
      </c>
      <c r="C122" s="108" t="s">
        <v>91</v>
      </c>
      <c r="D122" s="116" t="n">
        <v>34.3</v>
      </c>
      <c r="E122" s="117" t="s">
        <v>87</v>
      </c>
      <c r="F122" s="111" t="n">
        <v>0.108177429088715</v>
      </c>
      <c r="G122" s="111" t="n">
        <v>0</v>
      </c>
      <c r="H122" s="112" t="n">
        <v>4.29797207223529E-006</v>
      </c>
      <c r="I122" s="113" t="n">
        <v>66.28</v>
      </c>
      <c r="J122" s="108" t="s">
        <v>250</v>
      </c>
      <c r="K122" s="108" t="s">
        <v>69</v>
      </c>
    </row>
    <row r="123" customFormat="false" ht="15" hidden="false" customHeight="false" outlineLevel="0" collapsed="false">
      <c r="A123" s="102" t="n">
        <v>115</v>
      </c>
      <c r="B123" s="102" t="s">
        <v>342</v>
      </c>
      <c r="C123" s="102" t="s">
        <v>86</v>
      </c>
      <c r="D123" s="114" t="n">
        <v>33.9</v>
      </c>
      <c r="E123" s="115" t="s">
        <v>87</v>
      </c>
      <c r="F123" s="105" t="n">
        <v>0.23397493129612</v>
      </c>
      <c r="G123" s="105" t="n">
        <v>0.5</v>
      </c>
      <c r="H123" s="106" t="n">
        <v>2.37704831400013E-005</v>
      </c>
      <c r="I123" s="107" t="n">
        <v>366.57</v>
      </c>
      <c r="J123" s="102" t="s">
        <v>250</v>
      </c>
      <c r="K123" s="102" t="s">
        <v>69</v>
      </c>
    </row>
    <row r="124" customFormat="false" ht="15" hidden="false" customHeight="false" outlineLevel="0" collapsed="false">
      <c r="A124" s="108" t="n">
        <v>116</v>
      </c>
      <c r="B124" s="108" t="s">
        <v>343</v>
      </c>
      <c r="C124" s="108" t="s">
        <v>86</v>
      </c>
      <c r="D124" s="116" t="n">
        <v>33.8</v>
      </c>
      <c r="E124" s="117" t="s">
        <v>87</v>
      </c>
      <c r="F124" s="111" t="n">
        <v>0.241666800767285</v>
      </c>
      <c r="G124" s="111" t="n">
        <v>0.0780876494023904</v>
      </c>
      <c r="H124" s="112" t="n">
        <v>0.0101635406192284</v>
      </c>
      <c r="I124" s="113" t="n">
        <v>156734.26</v>
      </c>
      <c r="J124" s="108" t="s">
        <v>250</v>
      </c>
      <c r="K124" s="108" t="s">
        <v>71</v>
      </c>
    </row>
    <row r="125" customFormat="false" ht="15" hidden="false" customHeight="false" outlineLevel="0" collapsed="false">
      <c r="A125" s="102" t="n">
        <v>117</v>
      </c>
      <c r="B125" s="102" t="s">
        <v>344</v>
      </c>
      <c r="C125" s="102" t="s">
        <v>86</v>
      </c>
      <c r="D125" s="114" t="n">
        <v>33.8</v>
      </c>
      <c r="E125" s="115" t="s">
        <v>87</v>
      </c>
      <c r="F125" s="105" t="n">
        <v>0.235198560466798</v>
      </c>
      <c r="G125" s="105" t="n">
        <v>0.5</v>
      </c>
      <c r="H125" s="106" t="n">
        <v>4.73399446532083E-005</v>
      </c>
      <c r="I125" s="107" t="n">
        <v>730.04</v>
      </c>
      <c r="J125" s="102" t="s">
        <v>250</v>
      </c>
      <c r="K125" s="102" t="s">
        <v>69</v>
      </c>
    </row>
    <row r="126" customFormat="false" ht="15" hidden="false" customHeight="false" outlineLevel="0" collapsed="false">
      <c r="A126" s="108" t="n">
        <v>118</v>
      </c>
      <c r="B126" s="108" t="s">
        <v>345</v>
      </c>
      <c r="C126" s="108" t="s">
        <v>86</v>
      </c>
      <c r="D126" s="116" t="n">
        <v>33.6</v>
      </c>
      <c r="E126" s="117" t="s">
        <v>87</v>
      </c>
      <c r="F126" s="111" t="n">
        <v>0.280165268759856</v>
      </c>
      <c r="G126" s="111" t="n">
        <v>0.103327495621716</v>
      </c>
      <c r="H126" s="112" t="n">
        <v>0.0129719975557508</v>
      </c>
      <c r="I126" s="113" t="n">
        <v>200044.11</v>
      </c>
      <c r="J126" s="108" t="s">
        <v>250</v>
      </c>
      <c r="K126" s="108" t="s">
        <v>72</v>
      </c>
    </row>
    <row r="127" customFormat="false" ht="15" hidden="false" customHeight="false" outlineLevel="0" collapsed="false">
      <c r="A127" s="102" t="n">
        <v>119</v>
      </c>
      <c r="B127" s="102" t="s">
        <v>346</v>
      </c>
      <c r="C127" s="102" t="s">
        <v>86</v>
      </c>
      <c r="D127" s="114" t="n">
        <v>33.5</v>
      </c>
      <c r="E127" s="115" t="s">
        <v>87</v>
      </c>
      <c r="F127" s="105" t="n">
        <v>0.175107477030403</v>
      </c>
      <c r="G127" s="105" t="n">
        <v>0.25</v>
      </c>
      <c r="H127" s="106" t="n">
        <v>3.21654056576776E-005</v>
      </c>
      <c r="I127" s="107" t="n">
        <v>496.03</v>
      </c>
      <c r="J127" s="102" t="s">
        <v>250</v>
      </c>
      <c r="K127" s="102" t="s">
        <v>69</v>
      </c>
    </row>
    <row r="128" customFormat="false" ht="15" hidden="false" customHeight="false" outlineLevel="0" collapsed="false">
      <c r="A128" s="108" t="n">
        <v>120</v>
      </c>
      <c r="B128" s="108" t="s">
        <v>347</v>
      </c>
      <c r="C128" s="108" t="s">
        <v>86</v>
      </c>
      <c r="D128" s="116" t="n">
        <v>33.5</v>
      </c>
      <c r="E128" s="117" t="s">
        <v>87</v>
      </c>
      <c r="F128" s="111" t="n">
        <v>0.157258824119864</v>
      </c>
      <c r="G128" s="111" t="n">
        <v>0.176470588235294</v>
      </c>
      <c r="H128" s="112" t="n">
        <v>5.16016031412485E-005</v>
      </c>
      <c r="I128" s="113" t="n">
        <v>795.76</v>
      </c>
      <c r="J128" s="108" t="s">
        <v>250</v>
      </c>
      <c r="K128" s="108" t="s">
        <v>69</v>
      </c>
    </row>
    <row r="129" customFormat="false" ht="15" hidden="false" customHeight="false" outlineLevel="0" collapsed="false">
      <c r="A129" s="102" t="n">
        <v>121</v>
      </c>
      <c r="B129" s="102" t="s">
        <v>348</v>
      </c>
      <c r="C129" s="102" t="s">
        <v>86</v>
      </c>
      <c r="D129" s="114" t="n">
        <v>33.5</v>
      </c>
      <c r="E129" s="115" t="s">
        <v>87</v>
      </c>
      <c r="F129" s="105" t="n">
        <v>0.219360769217446</v>
      </c>
      <c r="G129" s="105" t="n">
        <v>0.428571428571429</v>
      </c>
      <c r="H129" s="106" t="n">
        <v>5.74772707553891E-005</v>
      </c>
      <c r="I129" s="107" t="n">
        <v>886.37</v>
      </c>
      <c r="J129" s="102" t="s">
        <v>250</v>
      </c>
      <c r="K129" s="102" t="s">
        <v>69</v>
      </c>
    </row>
    <row r="130" customFormat="false" ht="15" hidden="false" customHeight="false" outlineLevel="0" collapsed="false">
      <c r="A130" s="108" t="n">
        <v>122</v>
      </c>
      <c r="B130" s="108" t="s">
        <v>349</v>
      </c>
      <c r="C130" s="108" t="s">
        <v>86</v>
      </c>
      <c r="D130" s="116" t="n">
        <v>33.5</v>
      </c>
      <c r="E130" s="117" t="s">
        <v>87</v>
      </c>
      <c r="F130" s="111" t="n">
        <v>0.195856059290597</v>
      </c>
      <c r="G130" s="111" t="n">
        <v>0.333333333333333</v>
      </c>
      <c r="H130" s="112" t="n">
        <v>1.52458692501997E-005</v>
      </c>
      <c r="I130" s="113" t="n">
        <v>235.11</v>
      </c>
      <c r="J130" s="108" t="s">
        <v>250</v>
      </c>
      <c r="K130" s="108" t="s">
        <v>69</v>
      </c>
    </row>
    <row r="131" customFormat="false" ht="15" hidden="false" customHeight="false" outlineLevel="0" collapsed="false">
      <c r="A131" s="102" t="n">
        <v>123</v>
      </c>
      <c r="B131" s="102" t="s">
        <v>350</v>
      </c>
      <c r="C131" s="102" t="s">
        <v>121</v>
      </c>
      <c r="D131" s="114" t="n">
        <v>33.5</v>
      </c>
      <c r="E131" s="115" t="s">
        <v>87</v>
      </c>
      <c r="F131" s="105" t="n">
        <v>0.113911060433295</v>
      </c>
      <c r="G131" s="105" t="n">
        <v>0</v>
      </c>
      <c r="H131" s="106" t="n">
        <v>3.4121800006189E-006</v>
      </c>
      <c r="I131" s="107" t="n">
        <v>52.62</v>
      </c>
      <c r="J131" s="102" t="s">
        <v>250</v>
      </c>
      <c r="K131" s="102" t="s">
        <v>69</v>
      </c>
    </row>
    <row r="132" customFormat="false" ht="15" hidden="false" customHeight="false" outlineLevel="0" collapsed="false">
      <c r="A132" s="108" t="n">
        <v>124</v>
      </c>
      <c r="B132" s="108" t="s">
        <v>351</v>
      </c>
      <c r="C132" s="108" t="s">
        <v>128</v>
      </c>
      <c r="D132" s="116" t="n">
        <v>33.4</v>
      </c>
      <c r="E132" s="117" t="s">
        <v>87</v>
      </c>
      <c r="F132" s="111" t="n">
        <v>0.184563854162702</v>
      </c>
      <c r="G132" s="111" t="n">
        <v>0.285714285714286</v>
      </c>
      <c r="H132" s="112" t="n">
        <v>3.09884564556397E-005</v>
      </c>
      <c r="I132" s="113" t="n">
        <v>477.88</v>
      </c>
      <c r="J132" s="108" t="s">
        <v>250</v>
      </c>
      <c r="K132" s="108" t="s">
        <v>69</v>
      </c>
    </row>
    <row r="133" customFormat="false" ht="15" hidden="false" customHeight="false" outlineLevel="0" collapsed="false">
      <c r="A133" s="102" t="n">
        <v>125</v>
      </c>
      <c r="B133" s="102" t="s">
        <v>352</v>
      </c>
      <c r="C133" s="102" t="s">
        <v>86</v>
      </c>
      <c r="D133" s="114" t="n">
        <v>33.4</v>
      </c>
      <c r="E133" s="115" t="s">
        <v>87</v>
      </c>
      <c r="F133" s="105" t="n">
        <v>0.114386239249414</v>
      </c>
      <c r="G133" s="105" t="n">
        <v>0</v>
      </c>
      <c r="H133" s="106" t="n">
        <v>2.48812897422553E-006</v>
      </c>
      <c r="I133" s="107" t="n">
        <v>38.37</v>
      </c>
      <c r="J133" s="102" t="s">
        <v>250</v>
      </c>
      <c r="K133" s="102" t="s">
        <v>69</v>
      </c>
    </row>
    <row r="134" customFormat="false" ht="15" hidden="false" customHeight="false" outlineLevel="0" collapsed="false">
      <c r="A134" s="108" t="n">
        <v>126</v>
      </c>
      <c r="B134" s="108" t="s">
        <v>353</v>
      </c>
      <c r="C134" s="108" t="s">
        <v>86</v>
      </c>
      <c r="D134" s="116" t="n">
        <v>33.3</v>
      </c>
      <c r="E134" s="117" t="s">
        <v>87</v>
      </c>
      <c r="F134" s="111" t="n">
        <v>0.224536686543535</v>
      </c>
      <c r="G134" s="111" t="n">
        <v>0.444444444444444</v>
      </c>
      <c r="H134" s="112" t="n">
        <v>4.08333285136777E-005</v>
      </c>
      <c r="I134" s="113" t="n">
        <v>629.7</v>
      </c>
      <c r="J134" s="108" t="s">
        <v>250</v>
      </c>
      <c r="K134" s="108" t="s">
        <v>69</v>
      </c>
    </row>
    <row r="135" customFormat="false" ht="15" hidden="false" customHeight="false" outlineLevel="0" collapsed="false">
      <c r="A135" s="102" t="n">
        <v>127</v>
      </c>
      <c r="B135" s="102" t="s">
        <v>354</v>
      </c>
      <c r="C135" s="102" t="s">
        <v>86</v>
      </c>
      <c r="D135" s="114" t="n">
        <v>33.3</v>
      </c>
      <c r="E135" s="115" t="s">
        <v>87</v>
      </c>
      <c r="F135" s="105" t="n">
        <v>0.115068493150685</v>
      </c>
      <c r="G135" s="105" t="n">
        <v>0</v>
      </c>
      <c r="H135" s="106" t="n">
        <v>1.89349403303063E-006</v>
      </c>
      <c r="I135" s="107" t="n">
        <v>29.2</v>
      </c>
      <c r="J135" s="102" t="s">
        <v>250</v>
      </c>
      <c r="K135" s="102" t="s">
        <v>69</v>
      </c>
    </row>
    <row r="136" customFormat="false" ht="15" hidden="false" customHeight="false" outlineLevel="0" collapsed="false">
      <c r="A136" s="108" t="n">
        <v>128</v>
      </c>
      <c r="B136" s="108" t="s">
        <v>355</v>
      </c>
      <c r="C136" s="108" t="s">
        <v>126</v>
      </c>
      <c r="D136" s="116" t="n">
        <v>33.3</v>
      </c>
      <c r="E136" s="117" t="s">
        <v>87</v>
      </c>
      <c r="F136" s="111" t="n">
        <v>0.197487993248839</v>
      </c>
      <c r="G136" s="111" t="n">
        <v>0.333333333333333</v>
      </c>
      <c r="H136" s="112" t="n">
        <v>4.13728446217193E-005</v>
      </c>
      <c r="I136" s="113" t="n">
        <v>638.02</v>
      </c>
      <c r="J136" s="108" t="s">
        <v>250</v>
      </c>
      <c r="K136" s="108" t="s">
        <v>69</v>
      </c>
    </row>
    <row r="137" customFormat="false" ht="15" hidden="false" customHeight="false" outlineLevel="0" collapsed="false">
      <c r="A137" s="102" t="n">
        <v>129</v>
      </c>
      <c r="B137" s="102" t="s">
        <v>356</v>
      </c>
      <c r="C137" s="102" t="s">
        <v>86</v>
      </c>
      <c r="D137" s="114" t="n">
        <v>33.2</v>
      </c>
      <c r="E137" s="115" t="s">
        <v>87</v>
      </c>
      <c r="F137" s="105" t="n">
        <v>0.165015511793741</v>
      </c>
      <c r="G137" s="105" t="n">
        <v>0.2</v>
      </c>
      <c r="H137" s="106" t="n">
        <v>1.02222739509229E-005</v>
      </c>
      <c r="I137" s="107" t="n">
        <v>157.64</v>
      </c>
      <c r="J137" s="102" t="s">
        <v>250</v>
      </c>
      <c r="K137" s="102" t="s">
        <v>69</v>
      </c>
    </row>
    <row r="138" customFormat="false" ht="15" hidden="false" customHeight="false" outlineLevel="0" collapsed="false">
      <c r="A138" s="108" t="n">
        <v>130</v>
      </c>
      <c r="B138" s="108" t="s">
        <v>357</v>
      </c>
      <c r="C138" s="108" t="s">
        <v>86</v>
      </c>
      <c r="D138" s="116" t="n">
        <v>33.1</v>
      </c>
      <c r="E138" s="117" t="s">
        <v>87</v>
      </c>
      <c r="F138" s="111" t="n">
        <v>0.164511622435528</v>
      </c>
      <c r="G138" s="111" t="n">
        <v>0.10475161987041</v>
      </c>
      <c r="H138" s="112" t="n">
        <v>0.0020390084010121</v>
      </c>
      <c r="I138" s="113" t="n">
        <v>31444.01</v>
      </c>
      <c r="J138" s="108" t="s">
        <v>250</v>
      </c>
      <c r="K138" s="108" t="s">
        <v>71</v>
      </c>
    </row>
    <row r="139" customFormat="false" ht="15" hidden="false" customHeight="false" outlineLevel="0" collapsed="false">
      <c r="A139" s="102" t="n">
        <v>131</v>
      </c>
      <c r="B139" s="102" t="s">
        <v>358</v>
      </c>
      <c r="C139" s="102" t="s">
        <v>128</v>
      </c>
      <c r="D139" s="114" t="n">
        <v>33</v>
      </c>
      <c r="E139" s="115" t="s">
        <v>87</v>
      </c>
      <c r="F139" s="105" t="n">
        <v>0.178476157509611</v>
      </c>
      <c r="G139" s="105" t="n">
        <v>0.25</v>
      </c>
      <c r="H139" s="106" t="n">
        <v>2.01948920105045E-005</v>
      </c>
      <c r="I139" s="107" t="n">
        <v>311.43</v>
      </c>
      <c r="J139" s="102" t="s">
        <v>250</v>
      </c>
      <c r="K139" s="102" t="s">
        <v>69</v>
      </c>
    </row>
    <row r="140" customFormat="false" ht="15" hidden="false" customHeight="false" outlineLevel="0" collapsed="false">
      <c r="A140" s="108" t="n">
        <v>132</v>
      </c>
      <c r="B140" s="108" t="s">
        <v>359</v>
      </c>
      <c r="C140" s="108" t="s">
        <v>86</v>
      </c>
      <c r="D140" s="116" t="n">
        <v>32.9</v>
      </c>
      <c r="E140" s="117" t="s">
        <v>87</v>
      </c>
      <c r="F140" s="111" t="n">
        <v>0.179320182355118</v>
      </c>
      <c r="G140" s="111" t="n">
        <v>0.25</v>
      </c>
      <c r="H140" s="112" t="n">
        <v>9.3864130575748E-006</v>
      </c>
      <c r="I140" s="113" t="n">
        <v>144.75</v>
      </c>
      <c r="J140" s="108" t="s">
        <v>250</v>
      </c>
      <c r="K140" s="108" t="s">
        <v>69</v>
      </c>
    </row>
    <row r="141" customFormat="false" ht="15" hidden="false" customHeight="false" outlineLevel="0" collapsed="false">
      <c r="A141" s="102" t="n">
        <v>133</v>
      </c>
      <c r="B141" s="102" t="s">
        <v>360</v>
      </c>
      <c r="C141" s="102" t="s">
        <v>86</v>
      </c>
      <c r="D141" s="114" t="n">
        <v>32.8</v>
      </c>
      <c r="E141" s="115" t="s">
        <v>87</v>
      </c>
      <c r="F141" s="105" t="n">
        <v>0.26712806091377</v>
      </c>
      <c r="G141" s="105" t="n">
        <v>0.6</v>
      </c>
      <c r="H141" s="106" t="n">
        <v>0.0001097772619355</v>
      </c>
      <c r="I141" s="107" t="n">
        <v>1692.9</v>
      </c>
      <c r="J141" s="102" t="s">
        <v>250</v>
      </c>
      <c r="K141" s="102" t="s">
        <v>72</v>
      </c>
    </row>
    <row r="142" customFormat="false" ht="15" hidden="false" customHeight="false" outlineLevel="0" collapsed="false">
      <c r="A142" s="108" t="n">
        <v>134</v>
      </c>
      <c r="B142" s="108" t="s">
        <v>361</v>
      </c>
      <c r="C142" s="108" t="s">
        <v>86</v>
      </c>
      <c r="D142" s="116" t="n">
        <v>32.8</v>
      </c>
      <c r="E142" s="117" t="s">
        <v>87</v>
      </c>
      <c r="F142" s="111" t="n">
        <v>0.240065491695449</v>
      </c>
      <c r="G142" s="111" t="n">
        <v>0.0641238253178551</v>
      </c>
      <c r="H142" s="112" t="n">
        <v>0.009684633828579</v>
      </c>
      <c r="I142" s="113" t="n">
        <v>149348.93</v>
      </c>
      <c r="J142" s="108" t="s">
        <v>250</v>
      </c>
      <c r="K142" s="108" t="s">
        <v>71</v>
      </c>
    </row>
    <row r="143" customFormat="false" ht="15" hidden="false" customHeight="false" outlineLevel="0" collapsed="false">
      <c r="A143" s="102" t="n">
        <v>135</v>
      </c>
      <c r="B143" s="102" t="s">
        <v>362</v>
      </c>
      <c r="C143" s="102" t="s">
        <v>86</v>
      </c>
      <c r="D143" s="114" t="n">
        <v>32.7</v>
      </c>
      <c r="E143" s="115" t="s">
        <v>87</v>
      </c>
      <c r="F143" s="105" t="n">
        <v>0.292984150197509</v>
      </c>
      <c r="G143" s="105" t="n">
        <v>0.642857142857143</v>
      </c>
      <c r="H143" s="106" t="n">
        <v>0.0014216930326599</v>
      </c>
      <c r="I143" s="107" t="n">
        <v>21924.25</v>
      </c>
      <c r="J143" s="102" t="s">
        <v>250</v>
      </c>
      <c r="K143" s="102" t="s">
        <v>72</v>
      </c>
    </row>
    <row r="144" customFormat="false" ht="15" hidden="false" customHeight="false" outlineLevel="0" collapsed="false">
      <c r="A144" s="108" t="n">
        <v>136</v>
      </c>
      <c r="B144" s="108" t="s">
        <v>363</v>
      </c>
      <c r="C144" s="108" t="s">
        <v>86</v>
      </c>
      <c r="D144" s="116" t="n">
        <v>32.5</v>
      </c>
      <c r="E144" s="117" t="s">
        <v>87</v>
      </c>
      <c r="F144" s="111" t="n">
        <v>0.202473319126328</v>
      </c>
      <c r="G144" s="111" t="n">
        <v>0.333333333333333</v>
      </c>
      <c r="H144" s="112" t="n">
        <v>1.03059248859438E-005</v>
      </c>
      <c r="I144" s="113" t="n">
        <v>158.93</v>
      </c>
      <c r="J144" s="108" t="s">
        <v>250</v>
      </c>
      <c r="K144" s="108" t="s">
        <v>69</v>
      </c>
    </row>
    <row r="145" customFormat="false" ht="15" hidden="false" customHeight="false" outlineLevel="0" collapsed="false">
      <c r="A145" s="102" t="n">
        <v>137</v>
      </c>
      <c r="B145" s="102" t="s">
        <v>364</v>
      </c>
      <c r="C145" s="102" t="s">
        <v>128</v>
      </c>
      <c r="D145" s="114" t="n">
        <v>32.5</v>
      </c>
      <c r="E145" s="115" t="s">
        <v>87</v>
      </c>
      <c r="F145" s="105" t="n">
        <v>0.203068124607329</v>
      </c>
      <c r="G145" s="105" t="n">
        <v>0.333333333333333</v>
      </c>
      <c r="H145" s="106" t="n">
        <v>6.13608788936838E-005</v>
      </c>
      <c r="I145" s="107" t="n">
        <v>946.26</v>
      </c>
      <c r="J145" s="102" t="s">
        <v>250</v>
      </c>
      <c r="K145" s="102" t="s">
        <v>69</v>
      </c>
    </row>
    <row r="146" customFormat="false" ht="15" hidden="false" customHeight="false" outlineLevel="0" collapsed="false">
      <c r="A146" s="108" t="n">
        <v>138</v>
      </c>
      <c r="B146" s="108" t="s">
        <v>365</v>
      </c>
      <c r="C146" s="108" t="s">
        <v>121</v>
      </c>
      <c r="D146" s="116" t="n">
        <v>32.5</v>
      </c>
      <c r="E146" s="117" t="s">
        <v>87</v>
      </c>
      <c r="F146" s="111" t="n">
        <v>0.121109980008436</v>
      </c>
      <c r="G146" s="111" t="n">
        <v>0</v>
      </c>
      <c r="H146" s="112" t="n">
        <v>1.55798245334226E-005</v>
      </c>
      <c r="I146" s="113" t="n">
        <v>240.26</v>
      </c>
      <c r="J146" s="108" t="s">
        <v>250</v>
      </c>
      <c r="K146" s="108" t="s">
        <v>69</v>
      </c>
    </row>
    <row r="147" customFormat="false" ht="15" hidden="false" customHeight="false" outlineLevel="0" collapsed="false">
      <c r="A147" s="102" t="n">
        <v>139</v>
      </c>
      <c r="B147" s="102" t="s">
        <v>366</v>
      </c>
      <c r="C147" s="102" t="s">
        <v>86</v>
      </c>
      <c r="D147" s="114" t="n">
        <v>32.4</v>
      </c>
      <c r="E147" s="115" t="s">
        <v>87</v>
      </c>
      <c r="F147" s="105" t="n">
        <v>0.163061649854741</v>
      </c>
      <c r="G147" s="105" t="n">
        <v>0.166666666666667</v>
      </c>
      <c r="H147" s="106" t="n">
        <v>5.18940571853913E-005</v>
      </c>
      <c r="I147" s="107" t="n">
        <v>800.27</v>
      </c>
      <c r="J147" s="102" t="s">
        <v>250</v>
      </c>
      <c r="K147" s="102" t="s">
        <v>69</v>
      </c>
    </row>
    <row r="148" customFormat="false" ht="15" hidden="false" customHeight="false" outlineLevel="0" collapsed="false">
      <c r="A148" s="108" t="n">
        <v>140</v>
      </c>
      <c r="B148" s="108" t="s">
        <v>367</v>
      </c>
      <c r="C148" s="108" t="s">
        <v>107</v>
      </c>
      <c r="D148" s="116" t="n">
        <v>32.3</v>
      </c>
      <c r="E148" s="117" t="s">
        <v>87</v>
      </c>
      <c r="F148" s="111" t="n">
        <v>0.228613595104554</v>
      </c>
      <c r="G148" s="111" t="n">
        <v>0.0572246065808297</v>
      </c>
      <c r="H148" s="112" t="n">
        <v>0.0084701733425245</v>
      </c>
      <c r="I148" s="113" t="n">
        <v>130620.46</v>
      </c>
      <c r="J148" s="108" t="s">
        <v>250</v>
      </c>
      <c r="K148" s="108" t="s">
        <v>71</v>
      </c>
    </row>
    <row r="149" customFormat="false" ht="15" hidden="false" customHeight="false" outlineLevel="0" collapsed="false">
      <c r="A149" s="102" t="n">
        <v>141</v>
      </c>
      <c r="B149" s="102" t="s">
        <v>368</v>
      </c>
      <c r="C149" s="102" t="s">
        <v>107</v>
      </c>
      <c r="D149" s="114" t="n">
        <v>32.2</v>
      </c>
      <c r="E149" s="115" t="s">
        <v>87</v>
      </c>
      <c r="F149" s="105" t="n">
        <v>0.122844827586207</v>
      </c>
      <c r="G149" s="105" t="n">
        <v>0</v>
      </c>
      <c r="H149" s="106" t="n">
        <v>1.20353593332358E-006</v>
      </c>
      <c r="I149" s="107" t="n">
        <v>18.56</v>
      </c>
      <c r="J149" s="102" t="s">
        <v>250</v>
      </c>
      <c r="K149" s="102" t="s">
        <v>69</v>
      </c>
    </row>
    <row r="150" customFormat="false" ht="15" hidden="false" customHeight="false" outlineLevel="0" collapsed="false">
      <c r="A150" s="108" t="n">
        <v>142</v>
      </c>
      <c r="B150" s="108" t="s">
        <v>369</v>
      </c>
      <c r="C150" s="108" t="s">
        <v>163</v>
      </c>
      <c r="D150" s="116" t="n">
        <v>32.1</v>
      </c>
      <c r="E150" s="117" t="s">
        <v>87</v>
      </c>
      <c r="F150" s="111" t="n">
        <v>0.12360494610019</v>
      </c>
      <c r="G150" s="111" t="n">
        <v>0</v>
      </c>
      <c r="H150" s="112" t="n">
        <v>4.09046587683467E-006</v>
      </c>
      <c r="I150" s="113" t="n">
        <v>63.08</v>
      </c>
      <c r="J150" s="108" t="s">
        <v>250</v>
      </c>
      <c r="K150" s="108" t="s">
        <v>69</v>
      </c>
    </row>
    <row r="151" customFormat="false" ht="15" hidden="false" customHeight="false" outlineLevel="0" collapsed="false">
      <c r="A151" s="102" t="n">
        <v>143</v>
      </c>
      <c r="B151" s="102" t="s">
        <v>370</v>
      </c>
      <c r="C151" s="102" t="s">
        <v>156</v>
      </c>
      <c r="D151" s="114" t="n">
        <v>32.1</v>
      </c>
      <c r="E151" s="115" t="s">
        <v>87</v>
      </c>
      <c r="F151" s="105" t="n">
        <v>0.12375</v>
      </c>
      <c r="G151" s="105" t="n">
        <v>0</v>
      </c>
      <c r="H151" s="106" t="n">
        <v>1.55629646550463E-006</v>
      </c>
      <c r="I151" s="107" t="n">
        <v>24</v>
      </c>
      <c r="J151" s="102" t="s">
        <v>250</v>
      </c>
      <c r="K151" s="102" t="s">
        <v>69</v>
      </c>
    </row>
    <row r="152" customFormat="false" ht="15" hidden="false" customHeight="false" outlineLevel="0" collapsed="false">
      <c r="A152" s="108" t="n">
        <v>144</v>
      </c>
      <c r="B152" s="108" t="s">
        <v>371</v>
      </c>
      <c r="C152" s="108" t="s">
        <v>86</v>
      </c>
      <c r="D152" s="116" t="n">
        <v>32</v>
      </c>
      <c r="E152" s="117" t="s">
        <v>87</v>
      </c>
      <c r="F152" s="111" t="n">
        <v>0.247372929651629</v>
      </c>
      <c r="G152" s="111" t="n">
        <v>0.5</v>
      </c>
      <c r="H152" s="112" t="n">
        <v>1.135707345702E-005</v>
      </c>
      <c r="I152" s="113" t="n">
        <v>175.14</v>
      </c>
      <c r="J152" s="108" t="s">
        <v>250</v>
      </c>
      <c r="K152" s="108" t="s">
        <v>70</v>
      </c>
    </row>
    <row r="153" customFormat="false" ht="15" hidden="false" customHeight="false" outlineLevel="0" collapsed="false">
      <c r="A153" s="102" t="n">
        <v>145</v>
      </c>
      <c r="B153" s="102" t="s">
        <v>372</v>
      </c>
      <c r="C153" s="102" t="s">
        <v>86</v>
      </c>
      <c r="D153" s="114" t="n">
        <v>32</v>
      </c>
      <c r="E153" s="115" t="s">
        <v>87</v>
      </c>
      <c r="F153" s="105" t="n">
        <v>0.247465426118112</v>
      </c>
      <c r="G153" s="105" t="n">
        <v>0.5</v>
      </c>
      <c r="H153" s="106" t="n">
        <v>1.04557184207486E-005</v>
      </c>
      <c r="I153" s="107" t="n">
        <v>161.24</v>
      </c>
      <c r="J153" s="102" t="s">
        <v>250</v>
      </c>
      <c r="K153" s="102" t="s">
        <v>70</v>
      </c>
    </row>
    <row r="154" customFormat="false" ht="15" hidden="false" customHeight="false" outlineLevel="0" collapsed="false">
      <c r="A154" s="108" t="n">
        <v>146</v>
      </c>
      <c r="B154" s="108" t="s">
        <v>373</v>
      </c>
      <c r="C154" s="108" t="s">
        <v>156</v>
      </c>
      <c r="D154" s="116" t="n">
        <v>31.9</v>
      </c>
      <c r="E154" s="117" t="s">
        <v>87</v>
      </c>
      <c r="F154" s="111" t="n">
        <v>0.125069949636262</v>
      </c>
      <c r="G154" s="111" t="n">
        <v>0</v>
      </c>
      <c r="H154" s="112" t="n">
        <v>2.31758481988064E-006</v>
      </c>
      <c r="I154" s="113" t="n">
        <v>35.74</v>
      </c>
      <c r="J154" s="108" t="s">
        <v>250</v>
      </c>
      <c r="K154" s="108" t="s">
        <v>69</v>
      </c>
    </row>
    <row r="155" customFormat="false" ht="15" hidden="false" customHeight="false" outlineLevel="0" collapsed="false">
      <c r="A155" s="102" t="n">
        <v>147</v>
      </c>
      <c r="B155" s="102" t="s">
        <v>374</v>
      </c>
      <c r="C155" s="102" t="s">
        <v>133</v>
      </c>
      <c r="D155" s="114" t="n">
        <v>31.8</v>
      </c>
      <c r="E155" s="115" t="s">
        <v>87</v>
      </c>
      <c r="F155" s="105" t="n">
        <v>0.196407858569784</v>
      </c>
      <c r="G155" s="105" t="n">
        <v>0.285714285714286</v>
      </c>
      <c r="H155" s="106" t="n">
        <v>4.98909739429147E-005</v>
      </c>
      <c r="I155" s="107" t="n">
        <v>769.38</v>
      </c>
      <c r="J155" s="102" t="s">
        <v>250</v>
      </c>
      <c r="K155" s="102" t="s">
        <v>69</v>
      </c>
    </row>
    <row r="156" customFormat="false" ht="15" hidden="false" customHeight="false" outlineLevel="0" collapsed="false">
      <c r="A156" s="108" t="n">
        <v>148</v>
      </c>
      <c r="B156" s="108" t="s">
        <v>375</v>
      </c>
      <c r="C156" s="108" t="s">
        <v>86</v>
      </c>
      <c r="D156" s="116" t="n">
        <v>31.8</v>
      </c>
      <c r="E156" s="117" t="s">
        <v>87</v>
      </c>
      <c r="F156" s="111" t="n">
        <v>0.215741434569292</v>
      </c>
      <c r="G156" s="111" t="n">
        <v>0.363636363636364</v>
      </c>
      <c r="H156" s="112" t="n">
        <v>6.39631362753796E-005</v>
      </c>
      <c r="I156" s="113" t="n">
        <v>986.39</v>
      </c>
      <c r="J156" s="108" t="s">
        <v>250</v>
      </c>
      <c r="K156" s="108" t="s">
        <v>69</v>
      </c>
    </row>
    <row r="157" customFormat="false" ht="15" hidden="false" customHeight="false" outlineLevel="0" collapsed="false">
      <c r="A157" s="102" t="n">
        <v>149</v>
      </c>
      <c r="B157" s="102" t="s">
        <v>376</v>
      </c>
      <c r="C157" s="102" t="s">
        <v>86</v>
      </c>
      <c r="D157" s="114" t="n">
        <v>31.8</v>
      </c>
      <c r="E157" s="115" t="s">
        <v>87</v>
      </c>
      <c r="F157" s="105" t="n">
        <v>0.220025681144071</v>
      </c>
      <c r="G157" s="105" t="n">
        <v>0.375</v>
      </c>
      <c r="H157" s="106" t="n">
        <v>0.0001983623052089</v>
      </c>
      <c r="I157" s="107" t="n">
        <v>3058.99</v>
      </c>
      <c r="J157" s="102" t="s">
        <v>250</v>
      </c>
      <c r="K157" s="102" t="s">
        <v>71</v>
      </c>
    </row>
    <row r="158" customFormat="false" ht="15" hidden="false" customHeight="false" outlineLevel="0" collapsed="false">
      <c r="A158" s="108" t="n">
        <v>150</v>
      </c>
      <c r="B158" s="108" t="s">
        <v>377</v>
      </c>
      <c r="C158" s="108" t="s">
        <v>86</v>
      </c>
      <c r="D158" s="116" t="n">
        <v>31.7</v>
      </c>
      <c r="E158" s="117" t="s">
        <v>87</v>
      </c>
      <c r="F158" s="111" t="n">
        <v>0.12609222163477</v>
      </c>
      <c r="G158" s="111" t="n">
        <v>0</v>
      </c>
      <c r="H158" s="112" t="n">
        <v>8.25420737892018E-006</v>
      </c>
      <c r="I158" s="113" t="n">
        <v>127.29</v>
      </c>
      <c r="J158" s="108" t="s">
        <v>250</v>
      </c>
      <c r="K158" s="108" t="s">
        <v>69</v>
      </c>
    </row>
    <row r="159" customFormat="false" ht="15" hidden="false" customHeight="false" outlineLevel="0" collapsed="false">
      <c r="A159" s="102" t="n">
        <v>151</v>
      </c>
      <c r="B159" s="102" t="s">
        <v>378</v>
      </c>
      <c r="C159" s="102" t="s">
        <v>86</v>
      </c>
      <c r="D159" s="114" t="n">
        <v>31.7</v>
      </c>
      <c r="E159" s="115" t="s">
        <v>87</v>
      </c>
      <c r="F159" s="105" t="n">
        <v>0.255258102428593</v>
      </c>
      <c r="G159" s="105" t="n">
        <v>0.0599118942731277</v>
      </c>
      <c r="H159" s="106" t="n">
        <v>0.0104591863680392</v>
      </c>
      <c r="I159" s="107" t="n">
        <v>161293.48</v>
      </c>
      <c r="J159" s="102" t="s">
        <v>250</v>
      </c>
      <c r="K159" s="102" t="s">
        <v>72</v>
      </c>
    </row>
    <row r="160" customFormat="false" ht="15" hidden="false" customHeight="false" outlineLevel="0" collapsed="false">
      <c r="A160" s="108" t="n">
        <v>152</v>
      </c>
      <c r="B160" s="108" t="s">
        <v>379</v>
      </c>
      <c r="C160" s="108" t="s">
        <v>86</v>
      </c>
      <c r="D160" s="116" t="n">
        <v>31.6</v>
      </c>
      <c r="E160" s="117" t="s">
        <v>87</v>
      </c>
      <c r="F160" s="111" t="n">
        <v>0.173490985614621</v>
      </c>
      <c r="G160" s="111" t="n">
        <v>0.183673469387755</v>
      </c>
      <c r="H160" s="112" t="n">
        <v>0.0001357453653761</v>
      </c>
      <c r="I160" s="113" t="n">
        <v>2093.36</v>
      </c>
      <c r="J160" s="108" t="s">
        <v>250</v>
      </c>
      <c r="K160" s="108" t="s">
        <v>71</v>
      </c>
    </row>
    <row r="161" customFormat="false" ht="15" hidden="false" customHeight="false" outlineLevel="0" collapsed="false">
      <c r="A161" s="102" t="n">
        <v>153</v>
      </c>
      <c r="B161" s="102" t="s">
        <v>380</v>
      </c>
      <c r="C161" s="102" t="s">
        <v>156</v>
      </c>
      <c r="D161" s="114" t="n">
        <v>31.6</v>
      </c>
      <c r="E161" s="115" t="s">
        <v>87</v>
      </c>
      <c r="F161" s="105" t="n">
        <v>0.296202322303678</v>
      </c>
      <c r="G161" s="105" t="n">
        <v>0.666666666666667</v>
      </c>
      <c r="H161" s="106" t="n">
        <v>0.0004791927601249</v>
      </c>
      <c r="I161" s="107" t="n">
        <v>7389.74</v>
      </c>
      <c r="J161" s="102" t="s">
        <v>250</v>
      </c>
      <c r="K161" s="102" t="s">
        <v>72</v>
      </c>
    </row>
    <row r="162" customFormat="false" ht="15" hidden="false" customHeight="false" outlineLevel="0" collapsed="false">
      <c r="A162" s="108" t="n">
        <v>154</v>
      </c>
      <c r="B162" s="108" t="s">
        <v>381</v>
      </c>
      <c r="C162" s="108" t="s">
        <v>156</v>
      </c>
      <c r="D162" s="116" t="n">
        <v>31.6</v>
      </c>
      <c r="E162" s="117" t="s">
        <v>87</v>
      </c>
      <c r="F162" s="111" t="n">
        <v>0.226802612025165</v>
      </c>
      <c r="G162" s="111" t="n">
        <v>0.4</v>
      </c>
      <c r="H162" s="112" t="n">
        <v>0.0001140233574589</v>
      </c>
      <c r="I162" s="113" t="n">
        <v>1758.38</v>
      </c>
      <c r="J162" s="108" t="s">
        <v>250</v>
      </c>
      <c r="K162" s="108" t="s">
        <v>71</v>
      </c>
    </row>
    <row r="163" customFormat="false" ht="15" hidden="false" customHeight="false" outlineLevel="0" collapsed="false">
      <c r="A163" s="102" t="n">
        <v>155</v>
      </c>
      <c r="B163" s="102" t="s">
        <v>382</v>
      </c>
      <c r="C163" s="102" t="s">
        <v>107</v>
      </c>
      <c r="D163" s="114" t="n">
        <v>31.6</v>
      </c>
      <c r="E163" s="115" t="s">
        <v>87</v>
      </c>
      <c r="F163" s="105" t="n">
        <v>0.174441703043913</v>
      </c>
      <c r="G163" s="105" t="n">
        <v>0.1875</v>
      </c>
      <c r="H163" s="106" t="n">
        <v>0.0001035994134243</v>
      </c>
      <c r="I163" s="107" t="n">
        <v>1597.63</v>
      </c>
      <c r="J163" s="102" t="s">
        <v>250</v>
      </c>
      <c r="K163" s="102" t="s">
        <v>71</v>
      </c>
    </row>
    <row r="164" customFormat="false" ht="15" hidden="false" customHeight="false" outlineLevel="0" collapsed="false">
      <c r="A164" s="108" t="n">
        <v>156</v>
      </c>
      <c r="B164" s="108" t="s">
        <v>383</v>
      </c>
      <c r="C164" s="108" t="s">
        <v>86</v>
      </c>
      <c r="D164" s="116" t="n">
        <v>31.5</v>
      </c>
      <c r="E164" s="117" t="s">
        <v>87</v>
      </c>
      <c r="F164" s="111" t="n">
        <v>0.163790203053422</v>
      </c>
      <c r="G164" s="111" t="n">
        <v>0.142857142857143</v>
      </c>
      <c r="H164" s="112" t="n">
        <v>0.0001120526970594</v>
      </c>
      <c r="I164" s="113" t="n">
        <v>1727.99</v>
      </c>
      <c r="J164" s="108" t="s">
        <v>250</v>
      </c>
      <c r="K164" s="108" t="s">
        <v>71</v>
      </c>
    </row>
    <row r="165" customFormat="false" ht="15" hidden="false" customHeight="false" outlineLevel="0" collapsed="false">
      <c r="A165" s="102" t="n">
        <v>157</v>
      </c>
      <c r="B165" s="102" t="s">
        <v>384</v>
      </c>
      <c r="C165" s="102" t="s">
        <v>86</v>
      </c>
      <c r="D165" s="114" t="n">
        <v>31.5</v>
      </c>
      <c r="E165" s="115" t="s">
        <v>87</v>
      </c>
      <c r="F165" s="105" t="n">
        <v>0.251172518513845</v>
      </c>
      <c r="G165" s="105" t="n">
        <v>0.5</v>
      </c>
      <c r="H165" s="106" t="n">
        <v>3.61741659700732E-005</v>
      </c>
      <c r="I165" s="107" t="n">
        <v>557.85</v>
      </c>
      <c r="J165" s="102" t="s">
        <v>250</v>
      </c>
      <c r="K165" s="102" t="s">
        <v>70</v>
      </c>
    </row>
    <row r="166" customFormat="false" ht="15" hidden="false" customHeight="false" outlineLevel="0" collapsed="false">
      <c r="A166" s="108" t="n">
        <v>158</v>
      </c>
      <c r="B166" s="108" t="s">
        <v>385</v>
      </c>
      <c r="C166" s="108" t="s">
        <v>107</v>
      </c>
      <c r="D166" s="116" t="n">
        <v>31.5</v>
      </c>
      <c r="E166" s="117" t="s">
        <v>87</v>
      </c>
      <c r="F166" s="111" t="n">
        <v>0.167314842636876</v>
      </c>
      <c r="G166" s="111" t="n">
        <v>0.14</v>
      </c>
      <c r="H166" s="112" t="n">
        <v>0.000450945979276</v>
      </c>
      <c r="I166" s="113" t="n">
        <v>6954.14</v>
      </c>
      <c r="J166" s="108" t="s">
        <v>250</v>
      </c>
      <c r="K166" s="108" t="s">
        <v>71</v>
      </c>
    </row>
    <row r="167" customFormat="false" ht="15" hidden="false" customHeight="false" outlineLevel="0" collapsed="false">
      <c r="A167" s="102" t="n">
        <v>159</v>
      </c>
      <c r="B167" s="102" t="s">
        <v>386</v>
      </c>
      <c r="C167" s="102" t="s">
        <v>86</v>
      </c>
      <c r="D167" s="114" t="n">
        <v>31.4</v>
      </c>
      <c r="E167" s="115" t="s">
        <v>87</v>
      </c>
      <c r="F167" s="105" t="n">
        <v>0.128120893561104</v>
      </c>
      <c r="G167" s="105" t="n">
        <v>0</v>
      </c>
      <c r="H167" s="106" t="n">
        <v>9.86951341874186E-007</v>
      </c>
      <c r="I167" s="107" t="n">
        <v>15.22</v>
      </c>
      <c r="J167" s="102" t="s">
        <v>250</v>
      </c>
      <c r="K167" s="102" t="s">
        <v>69</v>
      </c>
    </row>
    <row r="168" customFormat="false" ht="15" hidden="false" customHeight="false" outlineLevel="0" collapsed="false">
      <c r="A168" s="108" t="n">
        <v>160</v>
      </c>
      <c r="B168" s="108" t="s">
        <v>387</v>
      </c>
      <c r="C168" s="108" t="s">
        <v>86</v>
      </c>
      <c r="D168" s="116" t="n">
        <v>31.4</v>
      </c>
      <c r="E168" s="117" t="s">
        <v>87</v>
      </c>
      <c r="F168" s="111" t="n">
        <v>0.251484728016645</v>
      </c>
      <c r="G168" s="111" t="n">
        <v>0.5</v>
      </c>
      <c r="H168" s="112" t="n">
        <v>2.29949287346915E-005</v>
      </c>
      <c r="I168" s="113" t="n">
        <v>354.61</v>
      </c>
      <c r="J168" s="108" t="s">
        <v>250</v>
      </c>
      <c r="K168" s="108" t="s">
        <v>70</v>
      </c>
    </row>
    <row r="169" customFormat="false" ht="15" hidden="false" customHeight="false" outlineLevel="0" collapsed="false">
      <c r="A169" s="102" t="n">
        <v>161</v>
      </c>
      <c r="B169" s="102" t="s">
        <v>388</v>
      </c>
      <c r="C169" s="102" t="s">
        <v>86</v>
      </c>
      <c r="D169" s="114" t="n">
        <v>31.4</v>
      </c>
      <c r="E169" s="115" t="s">
        <v>87</v>
      </c>
      <c r="F169" s="105" t="n">
        <v>0.227148333157232</v>
      </c>
      <c r="G169" s="105" t="n">
        <v>0.4</v>
      </c>
      <c r="H169" s="106" t="n">
        <v>3.37372650878372E-005</v>
      </c>
      <c r="I169" s="107" t="n">
        <v>520.27</v>
      </c>
      <c r="J169" s="102" t="s">
        <v>250</v>
      </c>
      <c r="K169" s="102" t="s">
        <v>69</v>
      </c>
    </row>
    <row r="170" customFormat="false" ht="15" hidden="false" customHeight="false" outlineLevel="0" collapsed="false">
      <c r="A170" s="108" t="n">
        <v>162</v>
      </c>
      <c r="B170" s="108" t="s">
        <v>389</v>
      </c>
      <c r="C170" s="108" t="s">
        <v>121</v>
      </c>
      <c r="D170" s="116" t="n">
        <v>31.3</v>
      </c>
      <c r="E170" s="117" t="s">
        <v>87</v>
      </c>
      <c r="F170" s="111" t="n">
        <v>0.12883914627798</v>
      </c>
      <c r="G170" s="111" t="n">
        <v>0</v>
      </c>
      <c r="H170" s="112" t="n">
        <v>1.24568562926433E-006</v>
      </c>
      <c r="I170" s="113" t="n">
        <v>19.21</v>
      </c>
      <c r="J170" s="108" t="s">
        <v>250</v>
      </c>
      <c r="K170" s="108" t="s">
        <v>69</v>
      </c>
    </row>
    <row r="171" customFormat="false" ht="15" hidden="false" customHeight="false" outlineLevel="0" collapsed="false">
      <c r="A171" s="102" t="n">
        <v>163</v>
      </c>
      <c r="B171" s="102" t="s">
        <v>390</v>
      </c>
      <c r="C171" s="102" t="s">
        <v>86</v>
      </c>
      <c r="D171" s="114" t="n">
        <v>31.3</v>
      </c>
      <c r="E171" s="115" t="s">
        <v>87</v>
      </c>
      <c r="F171" s="105" t="n">
        <v>0.252015345341753</v>
      </c>
      <c r="G171" s="105" t="n">
        <v>0.5</v>
      </c>
      <c r="H171" s="106" t="n">
        <v>1.91229928198881E-005</v>
      </c>
      <c r="I171" s="107" t="n">
        <v>294.9</v>
      </c>
      <c r="J171" s="102" t="s">
        <v>250</v>
      </c>
      <c r="K171" s="102" t="s">
        <v>70</v>
      </c>
    </row>
    <row r="172" customFormat="false" ht="15" hidden="false" customHeight="false" outlineLevel="0" collapsed="false">
      <c r="A172" s="108" t="n">
        <v>164</v>
      </c>
      <c r="B172" s="108" t="s">
        <v>391</v>
      </c>
      <c r="C172" s="108" t="s">
        <v>86</v>
      </c>
      <c r="D172" s="116" t="n">
        <v>31.3</v>
      </c>
      <c r="E172" s="117" t="s">
        <v>87</v>
      </c>
      <c r="F172" s="111" t="n">
        <v>0.252050038087703</v>
      </c>
      <c r="G172" s="111" t="n">
        <v>0.5</v>
      </c>
      <c r="H172" s="112" t="n">
        <v>8.57324815434863E-006</v>
      </c>
      <c r="I172" s="113" t="n">
        <v>132.21</v>
      </c>
      <c r="J172" s="108" t="s">
        <v>250</v>
      </c>
      <c r="K172" s="108" t="s">
        <v>70</v>
      </c>
    </row>
    <row r="173" customFormat="false" ht="15" hidden="false" customHeight="false" outlineLevel="0" collapsed="false">
      <c r="A173" s="102" t="n">
        <v>165</v>
      </c>
      <c r="B173" s="102" t="s">
        <v>392</v>
      </c>
      <c r="C173" s="102" t="s">
        <v>86</v>
      </c>
      <c r="D173" s="114" t="n">
        <v>31.2</v>
      </c>
      <c r="E173" s="115" t="s">
        <v>87</v>
      </c>
      <c r="F173" s="105" t="n">
        <v>0.170632169716634</v>
      </c>
      <c r="G173" s="105" t="n">
        <v>0.166666666666667</v>
      </c>
      <c r="H173" s="106" t="n">
        <v>1.90244273770728E-005</v>
      </c>
      <c r="I173" s="107" t="n">
        <v>293.38</v>
      </c>
      <c r="J173" s="102" t="s">
        <v>250</v>
      </c>
      <c r="K173" s="102" t="s">
        <v>69</v>
      </c>
    </row>
    <row r="174" customFormat="false" ht="15" hidden="false" customHeight="false" outlineLevel="0" collapsed="false">
      <c r="A174" s="108" t="n">
        <v>166</v>
      </c>
      <c r="B174" s="108" t="s">
        <v>393</v>
      </c>
      <c r="C174" s="108" t="s">
        <v>86</v>
      </c>
      <c r="D174" s="116" t="n">
        <v>31.2</v>
      </c>
      <c r="E174" s="117" t="s">
        <v>87</v>
      </c>
      <c r="F174" s="111" t="n">
        <v>0.164817395447697</v>
      </c>
      <c r="G174" s="111" t="n">
        <v>0.142857142857143</v>
      </c>
      <c r="H174" s="112" t="n">
        <v>2.16642952566851E-005</v>
      </c>
      <c r="I174" s="113" t="n">
        <v>334.09</v>
      </c>
      <c r="J174" s="108" t="s">
        <v>250</v>
      </c>
      <c r="K174" s="108" t="s">
        <v>69</v>
      </c>
    </row>
    <row r="175" customFormat="false" ht="15" hidden="false" customHeight="false" outlineLevel="0" collapsed="false">
      <c r="A175" s="102" t="n">
        <v>167</v>
      </c>
      <c r="B175" s="102" t="s">
        <v>394</v>
      </c>
      <c r="C175" s="102" t="s">
        <v>86</v>
      </c>
      <c r="D175" s="114" t="n">
        <v>31.2</v>
      </c>
      <c r="E175" s="115" t="s">
        <v>87</v>
      </c>
      <c r="F175" s="105" t="n">
        <v>0.176578492848801</v>
      </c>
      <c r="G175" s="105" t="n">
        <v>0.1875</v>
      </c>
      <c r="H175" s="106" t="n">
        <v>7.87978838759419E-005</v>
      </c>
      <c r="I175" s="107" t="n">
        <v>1215.16</v>
      </c>
      <c r="J175" s="102" t="s">
        <v>250</v>
      </c>
      <c r="K175" s="102" t="s">
        <v>71</v>
      </c>
    </row>
    <row r="176" customFormat="false" ht="15" hidden="false" customHeight="false" outlineLevel="0" collapsed="false">
      <c r="A176" s="108" t="n">
        <v>168</v>
      </c>
      <c r="B176" s="108" t="s">
        <v>395</v>
      </c>
      <c r="C176" s="108" t="s">
        <v>86</v>
      </c>
      <c r="D176" s="116" t="n">
        <v>31.1</v>
      </c>
      <c r="E176" s="117" t="s">
        <v>87</v>
      </c>
      <c r="F176" s="111" t="n">
        <v>0.235410281657132</v>
      </c>
      <c r="G176" s="111" t="n">
        <v>0.0612864077669902</v>
      </c>
      <c r="H176" s="112" t="n">
        <v>0.0082495501617471</v>
      </c>
      <c r="I176" s="113" t="n">
        <v>127218.18</v>
      </c>
      <c r="J176" s="108" t="s">
        <v>250</v>
      </c>
      <c r="K176" s="108" t="s">
        <v>71</v>
      </c>
    </row>
    <row r="177" customFormat="false" ht="15" hidden="false" customHeight="false" outlineLevel="0" collapsed="false">
      <c r="A177" s="102" t="n">
        <v>169</v>
      </c>
      <c r="B177" s="102" t="s">
        <v>396</v>
      </c>
      <c r="C177" s="102" t="s">
        <v>156</v>
      </c>
      <c r="D177" s="114" t="n">
        <v>31</v>
      </c>
      <c r="E177" s="115" t="s">
        <v>87</v>
      </c>
      <c r="F177" s="105" t="n">
        <v>0.185973620549064</v>
      </c>
      <c r="G177" s="105" t="n">
        <v>0.222222222222222</v>
      </c>
      <c r="H177" s="106" t="n">
        <v>3.28683328945972E-005</v>
      </c>
      <c r="I177" s="107" t="n">
        <v>506.87</v>
      </c>
      <c r="J177" s="102" t="s">
        <v>250</v>
      </c>
      <c r="K177" s="102" t="s">
        <v>69</v>
      </c>
    </row>
    <row r="178" customFormat="false" ht="15" hidden="false" customHeight="false" outlineLevel="0" collapsed="false">
      <c r="A178" s="108" t="n">
        <v>170</v>
      </c>
      <c r="B178" s="108" t="s">
        <v>397</v>
      </c>
      <c r="C178" s="108" t="s">
        <v>126</v>
      </c>
      <c r="D178" s="116" t="n">
        <v>31</v>
      </c>
      <c r="E178" s="117" t="s">
        <v>87</v>
      </c>
      <c r="F178" s="111" t="n">
        <v>0.131049654305468</v>
      </c>
      <c r="G178" s="111" t="n">
        <v>0</v>
      </c>
      <c r="H178" s="112" t="n">
        <v>2.06338973051489E-006</v>
      </c>
      <c r="I178" s="113" t="n">
        <v>31.82</v>
      </c>
      <c r="J178" s="108" t="s">
        <v>250</v>
      </c>
      <c r="K178" s="108" t="s">
        <v>69</v>
      </c>
    </row>
    <row r="179" customFormat="false" ht="15" hidden="false" customHeight="false" outlineLevel="0" collapsed="false">
      <c r="A179" s="102" t="n">
        <v>171</v>
      </c>
      <c r="B179" s="102" t="s">
        <v>398</v>
      </c>
      <c r="C179" s="102" t="s">
        <v>86</v>
      </c>
      <c r="D179" s="114" t="n">
        <v>31</v>
      </c>
      <c r="E179" s="115" t="s">
        <v>87</v>
      </c>
      <c r="F179" s="105" t="n">
        <v>0.131297951294936</v>
      </c>
      <c r="G179" s="105" t="n">
        <v>0</v>
      </c>
      <c r="H179" s="106" t="n">
        <v>6.59740010001838E-006</v>
      </c>
      <c r="I179" s="107" t="n">
        <v>101.74</v>
      </c>
      <c r="J179" s="102" t="s">
        <v>250</v>
      </c>
      <c r="K179" s="102" t="s">
        <v>69</v>
      </c>
    </row>
    <row r="180" customFormat="false" ht="15" hidden="false" customHeight="false" outlineLevel="0" collapsed="false">
      <c r="A180" s="108" t="n">
        <v>172</v>
      </c>
      <c r="B180" s="108" t="s">
        <v>399</v>
      </c>
      <c r="C180" s="108" t="s">
        <v>160</v>
      </c>
      <c r="D180" s="116" t="n">
        <v>31</v>
      </c>
      <c r="E180" s="117" t="s">
        <v>87</v>
      </c>
      <c r="F180" s="111" t="n">
        <v>0.180935622061779</v>
      </c>
      <c r="G180" s="111" t="n">
        <v>0.2</v>
      </c>
      <c r="H180" s="112" t="n">
        <v>2.96085402562256E-005</v>
      </c>
      <c r="I180" s="113" t="n">
        <v>456.6</v>
      </c>
      <c r="J180" s="108" t="s">
        <v>250</v>
      </c>
      <c r="K180" s="108" t="s">
        <v>69</v>
      </c>
    </row>
    <row r="181" customFormat="false" ht="15" hidden="false" customHeight="false" outlineLevel="0" collapsed="false">
      <c r="A181" s="102" t="n">
        <v>173</v>
      </c>
      <c r="B181" s="102" t="s">
        <v>400</v>
      </c>
      <c r="C181" s="102" t="s">
        <v>86</v>
      </c>
      <c r="D181" s="114" t="n">
        <v>30.9</v>
      </c>
      <c r="E181" s="115" t="s">
        <v>87</v>
      </c>
      <c r="F181" s="105" t="n">
        <v>0.174414734974129</v>
      </c>
      <c r="G181" s="105" t="n">
        <v>0.157894736842105</v>
      </c>
      <c r="H181" s="106" t="n">
        <v>0.00036368962411</v>
      </c>
      <c r="I181" s="107" t="n">
        <v>5608.54</v>
      </c>
      <c r="J181" s="102" t="s">
        <v>250</v>
      </c>
      <c r="K181" s="102" t="s">
        <v>71</v>
      </c>
    </row>
    <row r="182" customFormat="false" ht="15" hidden="false" customHeight="false" outlineLevel="0" collapsed="false">
      <c r="A182" s="108" t="n">
        <v>174</v>
      </c>
      <c r="B182" s="108" t="s">
        <v>401</v>
      </c>
      <c r="C182" s="108" t="s">
        <v>128</v>
      </c>
      <c r="D182" s="116" t="n">
        <v>30.9</v>
      </c>
      <c r="E182" s="117" t="s">
        <v>87</v>
      </c>
      <c r="F182" s="111" t="n">
        <v>0.181633961719919</v>
      </c>
      <c r="G182" s="111" t="n">
        <v>0.2</v>
      </c>
      <c r="H182" s="112" t="n">
        <v>6.15858934243213E-005</v>
      </c>
      <c r="I182" s="113" t="n">
        <v>949.73</v>
      </c>
      <c r="J182" s="108" t="s">
        <v>250</v>
      </c>
      <c r="K182" s="108" t="s">
        <v>69</v>
      </c>
    </row>
    <row r="183" customFormat="false" ht="15" hidden="false" customHeight="false" outlineLevel="0" collapsed="false">
      <c r="A183" s="102" t="n">
        <v>175</v>
      </c>
      <c r="B183" s="102" t="s">
        <v>402</v>
      </c>
      <c r="C183" s="102" t="s">
        <v>128</v>
      </c>
      <c r="D183" s="114" t="n">
        <v>30.9</v>
      </c>
      <c r="E183" s="115" t="s">
        <v>87</v>
      </c>
      <c r="F183" s="105" t="n">
        <v>0.157100087064799</v>
      </c>
      <c r="G183" s="105" t="n">
        <v>0.0967741935483871</v>
      </c>
      <c r="H183" s="106" t="n">
        <v>0.0001053839667047</v>
      </c>
      <c r="I183" s="107" t="n">
        <v>1625.15</v>
      </c>
      <c r="J183" s="102" t="s">
        <v>250</v>
      </c>
      <c r="K183" s="102" t="s">
        <v>71</v>
      </c>
    </row>
    <row r="184" customFormat="false" ht="15" hidden="false" customHeight="false" outlineLevel="0" collapsed="false">
      <c r="A184" s="108" t="n">
        <v>176</v>
      </c>
      <c r="B184" s="108" t="s">
        <v>403</v>
      </c>
      <c r="C184" s="108" t="s">
        <v>86</v>
      </c>
      <c r="D184" s="116" t="n">
        <v>30.8</v>
      </c>
      <c r="E184" s="117" t="s">
        <v>87</v>
      </c>
      <c r="F184" s="111" t="n">
        <v>0.214707520189891</v>
      </c>
      <c r="G184" s="111" t="n">
        <v>0.333333333333333</v>
      </c>
      <c r="H184" s="112" t="n">
        <v>2.06883676814415E-005</v>
      </c>
      <c r="I184" s="113" t="n">
        <v>319.04</v>
      </c>
      <c r="J184" s="108" t="s">
        <v>250</v>
      </c>
      <c r="K184" s="108" t="s">
        <v>69</v>
      </c>
    </row>
    <row r="185" customFormat="false" ht="15" hidden="false" customHeight="false" outlineLevel="0" collapsed="false">
      <c r="A185" s="102" t="n">
        <v>177</v>
      </c>
      <c r="B185" s="102" t="s">
        <v>404</v>
      </c>
      <c r="C185" s="102" t="s">
        <v>121</v>
      </c>
      <c r="D185" s="114" t="n">
        <v>30.8</v>
      </c>
      <c r="E185" s="115" t="s">
        <v>87</v>
      </c>
      <c r="F185" s="105" t="n">
        <v>0.210208387023551</v>
      </c>
      <c r="G185" s="105" t="n">
        <v>0.307692307692308</v>
      </c>
      <c r="H185" s="106" t="n">
        <v>0.0001622276951073</v>
      </c>
      <c r="I185" s="107" t="n">
        <v>2501.75</v>
      </c>
      <c r="J185" s="102" t="s">
        <v>250</v>
      </c>
      <c r="K185" s="102" t="s">
        <v>71</v>
      </c>
    </row>
    <row r="186" customFormat="false" ht="15" hidden="false" customHeight="false" outlineLevel="0" collapsed="false">
      <c r="A186" s="108" t="n">
        <v>178</v>
      </c>
      <c r="B186" s="108" t="s">
        <v>405</v>
      </c>
      <c r="C186" s="108" t="s">
        <v>86</v>
      </c>
      <c r="D186" s="116" t="n">
        <v>30.7</v>
      </c>
      <c r="E186" s="117" t="s">
        <v>87</v>
      </c>
      <c r="F186" s="111" t="n">
        <v>0.220937073779847</v>
      </c>
      <c r="G186" s="111" t="n">
        <v>0.348837209302326</v>
      </c>
      <c r="H186" s="112" t="n">
        <v>0.0001984569799105</v>
      </c>
      <c r="I186" s="113" t="n">
        <v>3060.45</v>
      </c>
      <c r="J186" s="108" t="s">
        <v>250</v>
      </c>
      <c r="K186" s="108" t="s">
        <v>71</v>
      </c>
    </row>
    <row r="187" customFormat="false" ht="15" hidden="false" customHeight="false" outlineLevel="0" collapsed="false">
      <c r="A187" s="102" t="n">
        <v>179</v>
      </c>
      <c r="B187" s="102" t="s">
        <v>406</v>
      </c>
      <c r="C187" s="102" t="s">
        <v>117</v>
      </c>
      <c r="D187" s="114" t="n">
        <v>30.7</v>
      </c>
      <c r="E187" s="115" t="s">
        <v>87</v>
      </c>
      <c r="F187" s="105" t="n">
        <v>0.224235455736229</v>
      </c>
      <c r="G187" s="105" t="n">
        <v>0.231958762886598</v>
      </c>
      <c r="H187" s="106" t="n">
        <v>0.0031173668704171</v>
      </c>
      <c r="I187" s="107" t="n">
        <v>48073.62</v>
      </c>
      <c r="J187" s="102" t="s">
        <v>250</v>
      </c>
      <c r="K187" s="102" t="s">
        <v>71</v>
      </c>
    </row>
    <row r="188" customFormat="false" ht="15" hidden="false" customHeight="false" outlineLevel="0" collapsed="false">
      <c r="A188" s="108" t="n">
        <v>180</v>
      </c>
      <c r="B188" s="108" t="s">
        <v>407</v>
      </c>
      <c r="C188" s="108" t="s">
        <v>86</v>
      </c>
      <c r="D188" s="116" t="n">
        <v>30.7</v>
      </c>
      <c r="E188" s="117" t="s">
        <v>87</v>
      </c>
      <c r="F188" s="111" t="n">
        <v>0.256251234717441</v>
      </c>
      <c r="G188" s="111" t="n">
        <v>0.5</v>
      </c>
      <c r="H188" s="112" t="n">
        <v>1.28926193029846E-005</v>
      </c>
      <c r="I188" s="113" t="n">
        <v>198.82</v>
      </c>
      <c r="J188" s="108" t="s">
        <v>250</v>
      </c>
      <c r="K188" s="108" t="s">
        <v>70</v>
      </c>
    </row>
    <row r="189" customFormat="false" ht="15" hidden="false" customHeight="false" outlineLevel="0" collapsed="false">
      <c r="A189" s="102" t="n">
        <v>181</v>
      </c>
      <c r="B189" s="102" t="s">
        <v>408</v>
      </c>
      <c r="C189" s="102" t="s">
        <v>86</v>
      </c>
      <c r="D189" s="114" t="n">
        <v>30.7</v>
      </c>
      <c r="E189" s="115" t="s">
        <v>87</v>
      </c>
      <c r="F189" s="105" t="n">
        <v>0.179763639362977</v>
      </c>
      <c r="G189" s="105" t="n">
        <v>0.1875</v>
      </c>
      <c r="H189" s="106" t="n">
        <v>4.08813143213641E-005</v>
      </c>
      <c r="I189" s="107" t="n">
        <v>630.44</v>
      </c>
      <c r="J189" s="102" t="s">
        <v>250</v>
      </c>
      <c r="K189" s="102" t="s">
        <v>69</v>
      </c>
    </row>
    <row r="190" customFormat="false" ht="15" hidden="false" customHeight="false" outlineLevel="0" collapsed="false">
      <c r="A190" s="108" t="n">
        <v>182</v>
      </c>
      <c r="B190" s="108" t="s">
        <v>409</v>
      </c>
      <c r="C190" s="108" t="s">
        <v>128</v>
      </c>
      <c r="D190" s="116" t="n">
        <v>30.7</v>
      </c>
      <c r="E190" s="117" t="s">
        <v>87</v>
      </c>
      <c r="F190" s="111" t="n">
        <v>0.164346025033004</v>
      </c>
      <c r="G190" s="111" t="n">
        <v>0.0629770992366412</v>
      </c>
      <c r="H190" s="112" t="n">
        <v>0.0014050678956672</v>
      </c>
      <c r="I190" s="113" t="n">
        <v>21667.87</v>
      </c>
      <c r="J190" s="108" t="s">
        <v>250</v>
      </c>
      <c r="K190" s="108" t="s">
        <v>71</v>
      </c>
    </row>
    <row r="191" customFormat="false" ht="15" hidden="false" customHeight="false" outlineLevel="0" collapsed="false">
      <c r="A191" s="102" t="n">
        <v>183</v>
      </c>
      <c r="B191" s="102" t="s">
        <v>410</v>
      </c>
      <c r="C191" s="102" t="s">
        <v>86</v>
      </c>
      <c r="D191" s="114" t="n">
        <v>30.6</v>
      </c>
      <c r="E191" s="115" t="s">
        <v>87</v>
      </c>
      <c r="F191" s="105" t="n">
        <v>0.256906765519483</v>
      </c>
      <c r="G191" s="105" t="n">
        <v>0.5</v>
      </c>
      <c r="H191" s="106" t="n">
        <v>3.10494114005386E-005</v>
      </c>
      <c r="I191" s="107" t="n">
        <v>478.82</v>
      </c>
      <c r="J191" s="102" t="s">
        <v>250</v>
      </c>
      <c r="K191" s="102" t="s">
        <v>70</v>
      </c>
    </row>
    <row r="192" customFormat="false" ht="15" hidden="false" customHeight="false" outlineLevel="0" collapsed="false">
      <c r="A192" s="108" t="n">
        <v>184</v>
      </c>
      <c r="B192" s="108" t="s">
        <v>411</v>
      </c>
      <c r="C192" s="108" t="s">
        <v>86</v>
      </c>
      <c r="D192" s="116" t="n">
        <v>30.6</v>
      </c>
      <c r="E192" s="117" t="s">
        <v>87</v>
      </c>
      <c r="F192" s="111" t="n">
        <v>0.257345822815744</v>
      </c>
      <c r="G192" s="111" t="n">
        <v>0.5</v>
      </c>
      <c r="H192" s="112" t="n">
        <v>1.38205610705417E-005</v>
      </c>
      <c r="I192" s="113" t="n">
        <v>213.13</v>
      </c>
      <c r="J192" s="108" t="s">
        <v>250</v>
      </c>
      <c r="K192" s="108" t="s">
        <v>70</v>
      </c>
    </row>
    <row r="193" customFormat="false" ht="15" hidden="false" customHeight="false" outlineLevel="0" collapsed="false">
      <c r="A193" s="102" t="n">
        <v>185</v>
      </c>
      <c r="B193" s="102" t="s">
        <v>412</v>
      </c>
      <c r="C193" s="102" t="s">
        <v>86</v>
      </c>
      <c r="D193" s="114" t="n">
        <v>30.5</v>
      </c>
      <c r="E193" s="115" t="s">
        <v>87</v>
      </c>
      <c r="F193" s="105" t="n">
        <v>0.224500466896015</v>
      </c>
      <c r="G193" s="105" t="n">
        <v>0.342857142857143</v>
      </c>
      <c r="H193" s="106" t="n">
        <v>0.000515981014742</v>
      </c>
      <c r="I193" s="107" t="n">
        <v>7957.06</v>
      </c>
      <c r="J193" s="102" t="s">
        <v>250</v>
      </c>
      <c r="K193" s="102" t="s">
        <v>71</v>
      </c>
    </row>
    <row r="194" customFormat="false" ht="15" hidden="false" customHeight="false" outlineLevel="0" collapsed="false">
      <c r="A194" s="108" t="n">
        <v>186</v>
      </c>
      <c r="B194" s="108" t="s">
        <v>413</v>
      </c>
      <c r="C194" s="108" t="s">
        <v>86</v>
      </c>
      <c r="D194" s="116" t="n">
        <v>30.4</v>
      </c>
      <c r="E194" s="117" t="s">
        <v>87</v>
      </c>
      <c r="F194" s="111" t="n">
        <v>0.258560462815025</v>
      </c>
      <c r="G194" s="111" t="n">
        <v>0.5</v>
      </c>
      <c r="H194" s="112" t="n">
        <v>3.60905150350524E-005</v>
      </c>
      <c r="I194" s="113" t="n">
        <v>556.56</v>
      </c>
      <c r="J194" s="108" t="s">
        <v>250</v>
      </c>
      <c r="K194" s="108" t="s">
        <v>70</v>
      </c>
    </row>
    <row r="195" customFormat="false" ht="15" hidden="false" customHeight="false" outlineLevel="0" collapsed="false">
      <c r="A195" s="102" t="n">
        <v>187</v>
      </c>
      <c r="B195" s="102" t="s">
        <v>414</v>
      </c>
      <c r="C195" s="102" t="s">
        <v>86</v>
      </c>
      <c r="D195" s="114" t="n">
        <v>30.3</v>
      </c>
      <c r="E195" s="115" t="s">
        <v>87</v>
      </c>
      <c r="F195" s="105" t="n">
        <v>0.218570314304579</v>
      </c>
      <c r="G195" s="105" t="n">
        <v>0.333333333333333</v>
      </c>
      <c r="H195" s="106" t="n">
        <v>7.29909526890278E-005</v>
      </c>
      <c r="I195" s="107" t="n">
        <v>1125.61</v>
      </c>
      <c r="J195" s="102" t="s">
        <v>250</v>
      </c>
      <c r="K195" s="102" t="s">
        <v>71</v>
      </c>
    </row>
    <row r="196" customFormat="false" ht="15" hidden="false" customHeight="false" outlineLevel="0" collapsed="false">
      <c r="A196" s="108" t="n">
        <v>188</v>
      </c>
      <c r="B196" s="108" t="s">
        <v>415</v>
      </c>
      <c r="C196" s="108" t="s">
        <v>128</v>
      </c>
      <c r="D196" s="116" t="n">
        <v>30.3</v>
      </c>
      <c r="E196" s="117" t="s">
        <v>87</v>
      </c>
      <c r="F196" s="111" t="n">
        <v>0.13611343765695</v>
      </c>
      <c r="G196" s="111" t="n">
        <v>0</v>
      </c>
      <c r="H196" s="112" t="n">
        <v>3.38948401049696E-006</v>
      </c>
      <c r="I196" s="113" t="n">
        <v>52.27</v>
      </c>
      <c r="J196" s="108" t="s">
        <v>250</v>
      </c>
      <c r="K196" s="108" t="s">
        <v>69</v>
      </c>
    </row>
    <row r="197" customFormat="false" ht="15" hidden="false" customHeight="false" outlineLevel="0" collapsed="false">
      <c r="A197" s="102" t="n">
        <v>189</v>
      </c>
      <c r="B197" s="102" t="s">
        <v>416</v>
      </c>
      <c r="C197" s="102" t="s">
        <v>86</v>
      </c>
      <c r="D197" s="114" t="n">
        <v>30.3</v>
      </c>
      <c r="E197" s="115" t="s">
        <v>87</v>
      </c>
      <c r="F197" s="105" t="n">
        <v>0.136251554395752</v>
      </c>
      <c r="G197" s="105" t="n">
        <v>0</v>
      </c>
      <c r="H197" s="106" t="n">
        <v>1.14932493977517E-005</v>
      </c>
      <c r="I197" s="107" t="n">
        <v>177.24</v>
      </c>
      <c r="J197" s="102" t="s">
        <v>250</v>
      </c>
      <c r="K197" s="102" t="s">
        <v>69</v>
      </c>
    </row>
    <row r="198" customFormat="false" ht="15" hidden="false" customHeight="false" outlineLevel="0" collapsed="false">
      <c r="A198" s="108" t="n">
        <v>190</v>
      </c>
      <c r="B198" s="108" t="s">
        <v>417</v>
      </c>
      <c r="C198" s="108" t="s">
        <v>86</v>
      </c>
      <c r="D198" s="116" t="n">
        <v>30.2</v>
      </c>
      <c r="E198" s="117" t="s">
        <v>87</v>
      </c>
      <c r="F198" s="111" t="n">
        <v>0.25989841461853</v>
      </c>
      <c r="G198" s="111" t="n">
        <v>0.5</v>
      </c>
      <c r="H198" s="112" t="n">
        <v>1.87164103682751E-005</v>
      </c>
      <c r="I198" s="113" t="n">
        <v>288.63</v>
      </c>
      <c r="J198" s="108" t="s">
        <v>250</v>
      </c>
      <c r="K198" s="108" t="s">
        <v>70</v>
      </c>
    </row>
    <row r="199" customFormat="false" ht="15" hidden="false" customHeight="false" outlineLevel="0" collapsed="false">
      <c r="A199" s="102" t="n">
        <v>191</v>
      </c>
      <c r="B199" s="102" t="s">
        <v>418</v>
      </c>
      <c r="C199" s="102" t="s">
        <v>126</v>
      </c>
      <c r="D199" s="114" t="n">
        <v>30.2</v>
      </c>
      <c r="E199" s="115" t="s">
        <v>87</v>
      </c>
      <c r="F199" s="105" t="n">
        <v>0.137204507312395</v>
      </c>
      <c r="G199" s="105" t="n">
        <v>0</v>
      </c>
      <c r="H199" s="106" t="n">
        <v>1.35235678283746E-005</v>
      </c>
      <c r="I199" s="107" t="n">
        <v>208.55</v>
      </c>
      <c r="J199" s="102" t="s">
        <v>250</v>
      </c>
      <c r="K199" s="102" t="s">
        <v>69</v>
      </c>
    </row>
    <row r="200" customFormat="false" ht="15" hidden="false" customHeight="false" outlineLevel="0" collapsed="false">
      <c r="A200" s="108" t="n">
        <v>192</v>
      </c>
      <c r="B200" s="108" t="s">
        <v>419</v>
      </c>
      <c r="C200" s="108" t="s">
        <v>128</v>
      </c>
      <c r="D200" s="116" t="n">
        <v>30.1</v>
      </c>
      <c r="E200" s="117" t="s">
        <v>87</v>
      </c>
      <c r="F200" s="111" t="n">
        <v>0.163899330107523</v>
      </c>
      <c r="G200" s="111" t="n">
        <v>0.105263157894737</v>
      </c>
      <c r="H200" s="112" t="n">
        <v>5.06931150795102E-005</v>
      </c>
      <c r="I200" s="113" t="n">
        <v>781.75</v>
      </c>
      <c r="J200" s="108" t="s">
        <v>250</v>
      </c>
      <c r="K200" s="108" t="s">
        <v>69</v>
      </c>
    </row>
  </sheetData>
  <mergeCells count="2">
    <mergeCell ref="A1:K1"/>
    <mergeCell ref="A3:K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10" min="2" style="0" width="12"/>
  </cols>
  <sheetData>
    <row r="1" customFormat="false" ht="39.75" hidden="false" customHeight="true" outlineLevel="0" collapsed="false">
      <c r="A1" s="8" t="s">
        <v>420</v>
      </c>
      <c r="B1" s="8"/>
      <c r="C1" s="8"/>
      <c r="D1" s="8"/>
      <c r="E1" s="8"/>
      <c r="F1" s="8"/>
      <c r="G1" s="8"/>
      <c r="H1" s="8"/>
      <c r="I1" s="8"/>
      <c r="J1" s="8"/>
    </row>
    <row r="2" customFormat="false" ht="15" hidden="false" customHeight="true" outlineLevel="0" collapsed="false">
      <c r="A2" s="2" t="s">
        <v>421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0" hidden="false" customHeight="true" outlineLevel="0" collapsed="false">
      <c r="A4" s="118" t="s">
        <v>422</v>
      </c>
      <c r="B4" s="118"/>
      <c r="C4" s="118"/>
      <c r="D4" s="118"/>
      <c r="E4" s="118"/>
      <c r="F4" s="118"/>
      <c r="G4" s="118"/>
      <c r="H4" s="118"/>
      <c r="I4" s="118"/>
      <c r="J4" s="118"/>
    </row>
    <row r="5" customFormat="false" ht="15" hidden="false" customHeight="false" outlineLevel="0" collapsed="false">
      <c r="A5" s="119" t="s">
        <v>423</v>
      </c>
      <c r="B5" s="119"/>
      <c r="C5" s="119"/>
      <c r="D5" s="119"/>
      <c r="E5" s="119"/>
      <c r="F5" s="119"/>
      <c r="G5" s="119"/>
      <c r="H5" s="119"/>
      <c r="I5" s="119"/>
      <c r="J5" s="119"/>
    </row>
    <row r="6" customFormat="false" ht="18" hidden="false" customHeight="true" outlineLevel="0" collapsed="false">
      <c r="A6" s="120" t="s">
        <v>424</v>
      </c>
      <c r="B6" s="120"/>
      <c r="C6" s="120"/>
      <c r="D6" s="120"/>
      <c r="E6" s="120"/>
      <c r="F6" s="120"/>
      <c r="G6" s="120"/>
      <c r="H6" s="120"/>
      <c r="I6" s="120"/>
      <c r="J6" s="120"/>
    </row>
    <row r="7" customFormat="false" ht="18" hidden="false" customHeight="true" outlineLevel="0" collapsed="false">
      <c r="A7" s="121" t="s">
        <v>425</v>
      </c>
      <c r="B7" s="121"/>
      <c r="C7" s="121"/>
      <c r="D7" s="121"/>
      <c r="E7" s="121"/>
      <c r="F7" s="121"/>
      <c r="G7" s="121"/>
      <c r="H7" s="121"/>
      <c r="I7" s="121"/>
      <c r="J7" s="121"/>
    </row>
    <row r="8" customFormat="false" ht="18" hidden="false" customHeight="true" outlineLevel="0" collapsed="false">
      <c r="A8" s="120" t="s">
        <v>426</v>
      </c>
      <c r="B8" s="120"/>
      <c r="C8" s="120"/>
      <c r="D8" s="120"/>
      <c r="E8" s="120"/>
      <c r="F8" s="120"/>
      <c r="G8" s="120"/>
      <c r="H8" s="120"/>
      <c r="I8" s="120"/>
      <c r="J8" s="120"/>
    </row>
    <row r="9" customFormat="false" ht="18" hidden="false" customHeight="true" outlineLevel="0" collapsed="false">
      <c r="A9" s="121" t="s">
        <v>427</v>
      </c>
      <c r="B9" s="121"/>
      <c r="C9" s="121"/>
      <c r="D9" s="121"/>
      <c r="E9" s="121"/>
      <c r="F9" s="121"/>
      <c r="G9" s="121"/>
      <c r="H9" s="121"/>
      <c r="I9" s="121"/>
      <c r="J9" s="121"/>
    </row>
    <row r="10" customFormat="false" ht="15" hidden="false" customHeight="false" outlineLevel="0" collapsed="false">
      <c r="A10" s="119" t="s">
        <v>428</v>
      </c>
      <c r="B10" s="119"/>
      <c r="C10" s="119"/>
      <c r="D10" s="119"/>
      <c r="E10" s="119"/>
      <c r="F10" s="119"/>
      <c r="G10" s="119"/>
      <c r="H10" s="119"/>
      <c r="I10" s="119"/>
      <c r="J10" s="119"/>
    </row>
    <row r="11" customFormat="false" ht="18" hidden="false" customHeight="true" outlineLevel="0" collapsed="false">
      <c r="A11" s="122" t="s">
        <v>429</v>
      </c>
      <c r="B11" s="122"/>
      <c r="C11" s="122"/>
      <c r="D11" s="122"/>
      <c r="E11" s="122"/>
      <c r="F11" s="122"/>
      <c r="G11" s="122"/>
      <c r="H11" s="122"/>
      <c r="I11" s="122"/>
      <c r="J11" s="122"/>
    </row>
    <row r="12" customFormat="false" ht="18" hidden="false" customHeight="true" outlineLevel="0" collapsed="false">
      <c r="A12" s="123" t="s">
        <v>430</v>
      </c>
      <c r="B12" s="123"/>
      <c r="C12" s="123"/>
      <c r="D12" s="123"/>
      <c r="E12" s="123"/>
      <c r="F12" s="123"/>
      <c r="G12" s="123"/>
      <c r="H12" s="123"/>
      <c r="I12" s="123"/>
      <c r="J12" s="123"/>
    </row>
    <row r="13" customFormat="false" ht="18" hidden="false" customHeight="true" outlineLevel="0" collapsed="false">
      <c r="A13" s="122" t="s">
        <v>431</v>
      </c>
      <c r="B13" s="122"/>
      <c r="C13" s="122"/>
      <c r="D13" s="122"/>
      <c r="E13" s="122"/>
      <c r="F13" s="122"/>
      <c r="G13" s="122"/>
      <c r="H13" s="122"/>
      <c r="I13" s="122"/>
      <c r="J13" s="122"/>
    </row>
    <row r="15" customFormat="false" ht="30" hidden="false" customHeight="true" outlineLevel="0" collapsed="false">
      <c r="A15" s="124" t="s">
        <v>432</v>
      </c>
      <c r="B15" s="124"/>
      <c r="C15" s="124"/>
      <c r="D15" s="124"/>
      <c r="E15" s="124"/>
      <c r="F15" s="124"/>
      <c r="G15" s="124"/>
      <c r="H15" s="124"/>
      <c r="I15" s="124"/>
      <c r="J15" s="124"/>
    </row>
    <row r="16" customFormat="false" ht="15" hidden="false" customHeight="false" outlineLevel="0" collapsed="false">
      <c r="A16" s="119" t="s">
        <v>423</v>
      </c>
      <c r="B16" s="119"/>
      <c r="C16" s="119"/>
      <c r="D16" s="119"/>
      <c r="E16" s="119"/>
      <c r="F16" s="119"/>
      <c r="G16" s="119"/>
      <c r="H16" s="119"/>
      <c r="I16" s="119"/>
      <c r="J16" s="119"/>
    </row>
    <row r="17" customFormat="false" ht="18" hidden="false" customHeight="true" outlineLevel="0" collapsed="false">
      <c r="A17" s="120" t="s">
        <v>433</v>
      </c>
      <c r="B17" s="120"/>
      <c r="C17" s="120"/>
      <c r="D17" s="120"/>
      <c r="E17" s="120"/>
      <c r="F17" s="120"/>
      <c r="G17" s="120"/>
      <c r="H17" s="120"/>
      <c r="I17" s="120"/>
      <c r="J17" s="120"/>
    </row>
    <row r="18" customFormat="false" ht="18" hidden="false" customHeight="true" outlineLevel="0" collapsed="false">
      <c r="A18" s="121" t="s">
        <v>434</v>
      </c>
      <c r="B18" s="121"/>
      <c r="C18" s="121"/>
      <c r="D18" s="121"/>
      <c r="E18" s="121"/>
      <c r="F18" s="121"/>
      <c r="G18" s="121"/>
      <c r="H18" s="121"/>
      <c r="I18" s="121"/>
      <c r="J18" s="121"/>
    </row>
    <row r="19" customFormat="false" ht="18" hidden="false" customHeight="true" outlineLevel="0" collapsed="false">
      <c r="A19" s="120" t="s">
        <v>435</v>
      </c>
      <c r="B19" s="120"/>
      <c r="C19" s="120"/>
      <c r="D19" s="120"/>
      <c r="E19" s="120"/>
      <c r="F19" s="120"/>
      <c r="G19" s="120"/>
      <c r="H19" s="120"/>
      <c r="I19" s="120"/>
      <c r="J19" s="120"/>
    </row>
    <row r="20" customFormat="false" ht="18" hidden="false" customHeight="true" outlineLevel="0" collapsed="false">
      <c r="A20" s="121" t="s">
        <v>436</v>
      </c>
      <c r="B20" s="121"/>
      <c r="C20" s="121"/>
      <c r="D20" s="121"/>
      <c r="E20" s="121"/>
      <c r="F20" s="121"/>
      <c r="G20" s="121"/>
      <c r="H20" s="121"/>
      <c r="I20" s="121"/>
      <c r="J20" s="121"/>
    </row>
    <row r="21" customFormat="false" ht="15" hidden="false" customHeight="false" outlineLevel="0" collapsed="false">
      <c r="A21" s="119" t="s">
        <v>428</v>
      </c>
      <c r="B21" s="119"/>
      <c r="C21" s="119"/>
      <c r="D21" s="119"/>
      <c r="E21" s="119"/>
      <c r="F21" s="119"/>
      <c r="G21" s="119"/>
      <c r="H21" s="119"/>
      <c r="I21" s="119"/>
      <c r="J21" s="119"/>
    </row>
    <row r="22" customFormat="false" ht="18" hidden="false" customHeight="true" outlineLevel="0" collapsed="false">
      <c r="A22" s="122" t="s">
        <v>437</v>
      </c>
      <c r="B22" s="122"/>
      <c r="C22" s="122"/>
      <c r="D22" s="122"/>
      <c r="E22" s="122"/>
      <c r="F22" s="122"/>
      <c r="G22" s="122"/>
      <c r="H22" s="122"/>
      <c r="I22" s="122"/>
      <c r="J22" s="122"/>
    </row>
    <row r="23" customFormat="false" ht="18" hidden="false" customHeight="true" outlineLevel="0" collapsed="false">
      <c r="A23" s="123" t="s">
        <v>438</v>
      </c>
      <c r="B23" s="123"/>
      <c r="C23" s="123"/>
      <c r="D23" s="123"/>
      <c r="E23" s="123"/>
      <c r="F23" s="123"/>
      <c r="G23" s="123"/>
      <c r="H23" s="123"/>
      <c r="I23" s="123"/>
      <c r="J23" s="123"/>
    </row>
    <row r="24" customFormat="false" ht="18" hidden="false" customHeight="true" outlineLevel="0" collapsed="false">
      <c r="A24" s="122" t="s">
        <v>439</v>
      </c>
      <c r="B24" s="122"/>
      <c r="C24" s="122"/>
      <c r="D24" s="122"/>
      <c r="E24" s="122"/>
      <c r="F24" s="122"/>
      <c r="G24" s="122"/>
      <c r="H24" s="122"/>
      <c r="I24" s="122"/>
      <c r="J24" s="122"/>
    </row>
    <row r="25" customFormat="false" ht="18" hidden="false" customHeight="true" outlineLevel="0" collapsed="false">
      <c r="A25" s="123" t="s">
        <v>440</v>
      </c>
      <c r="B25" s="123"/>
      <c r="C25" s="123"/>
      <c r="D25" s="123"/>
      <c r="E25" s="123"/>
      <c r="F25" s="123"/>
      <c r="G25" s="123"/>
      <c r="H25" s="123"/>
      <c r="I25" s="123"/>
      <c r="J25" s="123"/>
    </row>
    <row r="27" customFormat="false" ht="30" hidden="false" customHeight="true" outlineLevel="0" collapsed="false">
      <c r="A27" s="125" t="s">
        <v>441</v>
      </c>
      <c r="B27" s="125"/>
      <c r="C27" s="125"/>
      <c r="D27" s="125"/>
      <c r="E27" s="125"/>
      <c r="F27" s="125"/>
      <c r="G27" s="125"/>
      <c r="H27" s="125"/>
      <c r="I27" s="125"/>
      <c r="J27" s="125"/>
    </row>
    <row r="28" customFormat="false" ht="15" hidden="false" customHeight="false" outlineLevel="0" collapsed="false">
      <c r="A28" s="119" t="s">
        <v>423</v>
      </c>
      <c r="B28" s="119"/>
      <c r="C28" s="119"/>
      <c r="D28" s="119"/>
      <c r="E28" s="119"/>
      <c r="F28" s="119"/>
      <c r="G28" s="119"/>
      <c r="H28" s="119"/>
      <c r="I28" s="119"/>
      <c r="J28" s="119"/>
    </row>
    <row r="29" customFormat="false" ht="18" hidden="false" customHeight="true" outlineLevel="0" collapsed="false">
      <c r="A29" s="120" t="s">
        <v>442</v>
      </c>
      <c r="B29" s="120"/>
      <c r="C29" s="120"/>
      <c r="D29" s="120"/>
      <c r="E29" s="120"/>
      <c r="F29" s="120"/>
      <c r="G29" s="120"/>
      <c r="H29" s="120"/>
      <c r="I29" s="120"/>
      <c r="J29" s="120"/>
    </row>
    <row r="30" customFormat="false" ht="18" hidden="false" customHeight="true" outlineLevel="0" collapsed="false">
      <c r="A30" s="121" t="s">
        <v>443</v>
      </c>
      <c r="B30" s="121"/>
      <c r="C30" s="121"/>
      <c r="D30" s="121"/>
      <c r="E30" s="121"/>
      <c r="F30" s="121"/>
      <c r="G30" s="121"/>
      <c r="H30" s="121"/>
      <c r="I30" s="121"/>
      <c r="J30" s="121"/>
    </row>
    <row r="31" customFormat="false" ht="18" hidden="false" customHeight="true" outlineLevel="0" collapsed="false">
      <c r="A31" s="120" t="s">
        <v>444</v>
      </c>
      <c r="B31" s="120"/>
      <c r="C31" s="120"/>
      <c r="D31" s="120"/>
      <c r="E31" s="120"/>
      <c r="F31" s="120"/>
      <c r="G31" s="120"/>
      <c r="H31" s="120"/>
      <c r="I31" s="120"/>
      <c r="J31" s="120"/>
    </row>
    <row r="32" customFormat="false" ht="18" hidden="false" customHeight="true" outlineLevel="0" collapsed="false">
      <c r="A32" s="121" t="s">
        <v>445</v>
      </c>
      <c r="B32" s="121"/>
      <c r="C32" s="121"/>
      <c r="D32" s="121"/>
      <c r="E32" s="121"/>
      <c r="F32" s="121"/>
      <c r="G32" s="121"/>
      <c r="H32" s="121"/>
      <c r="I32" s="121"/>
      <c r="J32" s="121"/>
    </row>
    <row r="33" customFormat="false" ht="15" hidden="false" customHeight="false" outlineLevel="0" collapsed="false">
      <c r="A33" s="119" t="s">
        <v>428</v>
      </c>
      <c r="B33" s="119"/>
      <c r="C33" s="119"/>
      <c r="D33" s="119"/>
      <c r="E33" s="119"/>
      <c r="F33" s="119"/>
      <c r="G33" s="119"/>
      <c r="H33" s="119"/>
      <c r="I33" s="119"/>
      <c r="J33" s="119"/>
    </row>
    <row r="34" customFormat="false" ht="18" hidden="false" customHeight="true" outlineLevel="0" collapsed="false">
      <c r="A34" s="122" t="s">
        <v>446</v>
      </c>
      <c r="B34" s="122"/>
      <c r="C34" s="122"/>
      <c r="D34" s="122"/>
      <c r="E34" s="122"/>
      <c r="F34" s="122"/>
      <c r="G34" s="122"/>
      <c r="H34" s="122"/>
      <c r="I34" s="122"/>
      <c r="J34" s="122"/>
    </row>
    <row r="35" customFormat="false" ht="18" hidden="false" customHeight="true" outlineLevel="0" collapsed="false">
      <c r="A35" s="123" t="s">
        <v>447</v>
      </c>
      <c r="B35" s="123"/>
      <c r="C35" s="123"/>
      <c r="D35" s="123"/>
      <c r="E35" s="123"/>
      <c r="F35" s="123"/>
      <c r="G35" s="123"/>
      <c r="H35" s="123"/>
      <c r="I35" s="123"/>
      <c r="J35" s="123"/>
    </row>
    <row r="36" customFormat="false" ht="18" hidden="false" customHeight="true" outlineLevel="0" collapsed="false">
      <c r="A36" s="122" t="s">
        <v>448</v>
      </c>
      <c r="B36" s="122"/>
      <c r="C36" s="122"/>
      <c r="D36" s="122"/>
      <c r="E36" s="122"/>
      <c r="F36" s="122"/>
      <c r="G36" s="122"/>
      <c r="H36" s="122"/>
      <c r="I36" s="122"/>
      <c r="J36" s="122"/>
    </row>
    <row r="37" customFormat="false" ht="18" hidden="false" customHeight="true" outlineLevel="0" collapsed="false">
      <c r="A37" s="123" t="s">
        <v>449</v>
      </c>
      <c r="B37" s="123"/>
      <c r="C37" s="123"/>
      <c r="D37" s="123"/>
      <c r="E37" s="123"/>
      <c r="F37" s="123"/>
      <c r="G37" s="123"/>
      <c r="H37" s="123"/>
      <c r="I37" s="123"/>
      <c r="J37" s="123"/>
    </row>
    <row r="39" customFormat="false" ht="30" hidden="false" customHeight="true" outlineLevel="0" collapsed="false">
      <c r="A39" s="126" t="s">
        <v>450</v>
      </c>
      <c r="B39" s="126"/>
      <c r="C39" s="126"/>
      <c r="D39" s="126"/>
      <c r="E39" s="126"/>
      <c r="F39" s="126"/>
      <c r="G39" s="126"/>
      <c r="H39" s="126"/>
      <c r="I39" s="126"/>
      <c r="J39" s="126"/>
    </row>
    <row r="40" customFormat="false" ht="15" hidden="false" customHeight="false" outlineLevel="0" collapsed="false">
      <c r="A40" s="119" t="s">
        <v>423</v>
      </c>
      <c r="B40" s="119"/>
      <c r="C40" s="119"/>
      <c r="D40" s="119"/>
      <c r="E40" s="119"/>
      <c r="F40" s="119"/>
      <c r="G40" s="119"/>
      <c r="H40" s="119"/>
      <c r="I40" s="119"/>
      <c r="J40" s="119"/>
    </row>
    <row r="41" customFormat="false" ht="18" hidden="false" customHeight="true" outlineLevel="0" collapsed="false">
      <c r="A41" s="120" t="s">
        <v>451</v>
      </c>
      <c r="B41" s="120"/>
      <c r="C41" s="120"/>
      <c r="D41" s="120"/>
      <c r="E41" s="120"/>
      <c r="F41" s="120"/>
      <c r="G41" s="120"/>
      <c r="H41" s="120"/>
      <c r="I41" s="120"/>
      <c r="J41" s="120"/>
    </row>
    <row r="42" customFormat="false" ht="18" hidden="false" customHeight="true" outlineLevel="0" collapsed="false">
      <c r="A42" s="121" t="s">
        <v>452</v>
      </c>
      <c r="B42" s="121"/>
      <c r="C42" s="121"/>
      <c r="D42" s="121"/>
      <c r="E42" s="121"/>
      <c r="F42" s="121"/>
      <c r="G42" s="121"/>
      <c r="H42" s="121"/>
      <c r="I42" s="121"/>
      <c r="J42" s="121"/>
    </row>
    <row r="43" customFormat="false" ht="18" hidden="false" customHeight="true" outlineLevel="0" collapsed="false">
      <c r="A43" s="120" t="s">
        <v>453</v>
      </c>
      <c r="B43" s="120"/>
      <c r="C43" s="120"/>
      <c r="D43" s="120"/>
      <c r="E43" s="120"/>
      <c r="F43" s="120"/>
      <c r="G43" s="120"/>
      <c r="H43" s="120"/>
      <c r="I43" s="120"/>
      <c r="J43" s="120"/>
    </row>
    <row r="44" customFormat="false" ht="18" hidden="false" customHeight="true" outlineLevel="0" collapsed="false">
      <c r="A44" s="121" t="s">
        <v>454</v>
      </c>
      <c r="B44" s="121"/>
      <c r="C44" s="121"/>
      <c r="D44" s="121"/>
      <c r="E44" s="121"/>
      <c r="F44" s="121"/>
      <c r="G44" s="121"/>
      <c r="H44" s="121"/>
      <c r="I44" s="121"/>
      <c r="J44" s="121"/>
    </row>
    <row r="45" customFormat="false" ht="15" hidden="false" customHeight="false" outlineLevel="0" collapsed="false">
      <c r="A45" s="119" t="s">
        <v>428</v>
      </c>
      <c r="B45" s="119"/>
      <c r="C45" s="119"/>
      <c r="D45" s="119"/>
      <c r="E45" s="119"/>
      <c r="F45" s="119"/>
      <c r="G45" s="119"/>
      <c r="H45" s="119"/>
      <c r="I45" s="119"/>
      <c r="J45" s="119"/>
    </row>
    <row r="46" customFormat="false" ht="18" hidden="false" customHeight="true" outlineLevel="0" collapsed="false">
      <c r="A46" s="122" t="s">
        <v>455</v>
      </c>
      <c r="B46" s="122"/>
      <c r="C46" s="122"/>
      <c r="D46" s="122"/>
      <c r="E46" s="122"/>
      <c r="F46" s="122"/>
      <c r="G46" s="122"/>
      <c r="H46" s="122"/>
      <c r="I46" s="122"/>
      <c r="J46" s="122"/>
    </row>
    <row r="47" customFormat="false" ht="18" hidden="false" customHeight="true" outlineLevel="0" collapsed="false">
      <c r="A47" s="123" t="s">
        <v>456</v>
      </c>
      <c r="B47" s="123"/>
      <c r="C47" s="123"/>
      <c r="D47" s="123"/>
      <c r="E47" s="123"/>
      <c r="F47" s="123"/>
      <c r="G47" s="123"/>
      <c r="H47" s="123"/>
      <c r="I47" s="123"/>
      <c r="J47" s="123"/>
    </row>
    <row r="48" customFormat="false" ht="18" hidden="false" customHeight="true" outlineLevel="0" collapsed="false">
      <c r="A48" s="122" t="s">
        <v>457</v>
      </c>
      <c r="B48" s="122"/>
      <c r="C48" s="122"/>
      <c r="D48" s="122"/>
      <c r="E48" s="122"/>
      <c r="F48" s="122"/>
      <c r="G48" s="122"/>
      <c r="H48" s="122"/>
      <c r="I48" s="122"/>
      <c r="J48" s="122"/>
    </row>
    <row r="49" customFormat="false" ht="18" hidden="false" customHeight="true" outlineLevel="0" collapsed="false">
      <c r="A49" s="123" t="s">
        <v>458</v>
      </c>
      <c r="B49" s="123"/>
      <c r="C49" s="123"/>
      <c r="D49" s="123"/>
      <c r="E49" s="123"/>
      <c r="F49" s="123"/>
      <c r="G49" s="123"/>
      <c r="H49" s="123"/>
      <c r="I49" s="123"/>
      <c r="J49" s="123"/>
    </row>
    <row r="51" customFormat="false" ht="30" hidden="false" customHeight="true" outlineLevel="0" collapsed="false">
      <c r="A51" s="127" t="s">
        <v>459</v>
      </c>
      <c r="B51" s="127"/>
      <c r="C51" s="127"/>
      <c r="D51" s="127"/>
      <c r="E51" s="127"/>
      <c r="F51" s="127"/>
      <c r="G51" s="127"/>
      <c r="H51" s="127"/>
      <c r="I51" s="127"/>
      <c r="J51" s="127"/>
    </row>
    <row r="52" customFormat="false" ht="15" hidden="false" customHeight="false" outlineLevel="0" collapsed="false">
      <c r="A52" s="119" t="s">
        <v>423</v>
      </c>
      <c r="B52" s="119"/>
      <c r="C52" s="119"/>
      <c r="D52" s="119"/>
      <c r="E52" s="119"/>
      <c r="F52" s="119"/>
      <c r="G52" s="119"/>
      <c r="H52" s="119"/>
      <c r="I52" s="119"/>
      <c r="J52" s="119"/>
    </row>
    <row r="53" customFormat="false" ht="18" hidden="false" customHeight="true" outlineLevel="0" collapsed="false">
      <c r="A53" s="120" t="s">
        <v>460</v>
      </c>
      <c r="B53" s="120"/>
      <c r="C53" s="120"/>
      <c r="D53" s="120"/>
      <c r="E53" s="120"/>
      <c r="F53" s="120"/>
      <c r="G53" s="120"/>
      <c r="H53" s="120"/>
      <c r="I53" s="120"/>
      <c r="J53" s="120"/>
    </row>
    <row r="54" customFormat="false" ht="18" hidden="false" customHeight="true" outlineLevel="0" collapsed="false">
      <c r="A54" s="121" t="s">
        <v>461</v>
      </c>
      <c r="B54" s="121"/>
      <c r="C54" s="121"/>
      <c r="D54" s="121"/>
      <c r="E54" s="121"/>
      <c r="F54" s="121"/>
      <c r="G54" s="121"/>
      <c r="H54" s="121"/>
      <c r="I54" s="121"/>
      <c r="J54" s="121"/>
    </row>
    <row r="55" customFormat="false" ht="18" hidden="false" customHeight="true" outlineLevel="0" collapsed="false">
      <c r="A55" s="120" t="s">
        <v>462</v>
      </c>
      <c r="B55" s="120"/>
      <c r="C55" s="120"/>
      <c r="D55" s="120"/>
      <c r="E55" s="120"/>
      <c r="F55" s="120"/>
      <c r="G55" s="120"/>
      <c r="H55" s="120"/>
      <c r="I55" s="120"/>
      <c r="J55" s="120"/>
    </row>
    <row r="56" customFormat="false" ht="18" hidden="false" customHeight="true" outlineLevel="0" collapsed="false">
      <c r="A56" s="121" t="s">
        <v>463</v>
      </c>
      <c r="B56" s="121"/>
      <c r="C56" s="121"/>
      <c r="D56" s="121"/>
      <c r="E56" s="121"/>
      <c r="F56" s="121"/>
      <c r="G56" s="121"/>
      <c r="H56" s="121"/>
      <c r="I56" s="121"/>
      <c r="J56" s="121"/>
    </row>
    <row r="57" customFormat="false" ht="15" hidden="false" customHeight="false" outlineLevel="0" collapsed="false">
      <c r="A57" s="119" t="s">
        <v>428</v>
      </c>
      <c r="B57" s="119"/>
      <c r="C57" s="119"/>
      <c r="D57" s="119"/>
      <c r="E57" s="119"/>
      <c r="F57" s="119"/>
      <c r="G57" s="119"/>
      <c r="H57" s="119"/>
      <c r="I57" s="119"/>
      <c r="J57" s="119"/>
    </row>
    <row r="58" customFormat="false" ht="18" hidden="false" customHeight="true" outlineLevel="0" collapsed="false">
      <c r="A58" s="122" t="s">
        <v>464</v>
      </c>
      <c r="B58" s="122"/>
      <c r="C58" s="122"/>
      <c r="D58" s="122"/>
      <c r="E58" s="122"/>
      <c r="F58" s="122"/>
      <c r="G58" s="122"/>
      <c r="H58" s="122"/>
      <c r="I58" s="122"/>
      <c r="J58" s="122"/>
    </row>
    <row r="59" customFormat="false" ht="18" hidden="false" customHeight="true" outlineLevel="0" collapsed="false">
      <c r="A59" s="123" t="s">
        <v>465</v>
      </c>
      <c r="B59" s="123"/>
      <c r="C59" s="123"/>
      <c r="D59" s="123"/>
      <c r="E59" s="123"/>
      <c r="F59" s="123"/>
      <c r="G59" s="123"/>
      <c r="H59" s="123"/>
      <c r="I59" s="123"/>
      <c r="J59" s="123"/>
    </row>
    <row r="60" customFormat="false" ht="18" hidden="false" customHeight="true" outlineLevel="0" collapsed="false">
      <c r="A60" s="122" t="s">
        <v>466</v>
      </c>
      <c r="B60" s="122"/>
      <c r="C60" s="122"/>
      <c r="D60" s="122"/>
      <c r="E60" s="122"/>
      <c r="F60" s="122"/>
      <c r="G60" s="122"/>
      <c r="H60" s="122"/>
      <c r="I60" s="122"/>
      <c r="J60" s="122"/>
    </row>
    <row r="61" customFormat="false" ht="18" hidden="false" customHeight="true" outlineLevel="0" collapsed="false">
      <c r="A61" s="123" t="s">
        <v>467</v>
      </c>
      <c r="B61" s="123"/>
      <c r="C61" s="123"/>
      <c r="D61" s="123"/>
      <c r="E61" s="123"/>
      <c r="F61" s="123"/>
      <c r="G61" s="123"/>
      <c r="H61" s="123"/>
      <c r="I61" s="123"/>
      <c r="J61" s="123"/>
    </row>
    <row r="62" customFormat="false" ht="18" hidden="false" customHeight="true" outlineLevel="0" collapsed="false">
      <c r="A62" s="122" t="s">
        <v>468</v>
      </c>
      <c r="B62" s="122"/>
      <c r="C62" s="122"/>
      <c r="D62" s="122"/>
      <c r="E62" s="122"/>
      <c r="F62" s="122"/>
      <c r="G62" s="122"/>
      <c r="H62" s="122"/>
      <c r="I62" s="122"/>
      <c r="J62" s="122"/>
    </row>
  </sheetData>
  <mergeCells count="57">
    <mergeCell ref="A1:J1"/>
    <mergeCell ref="A2:J2"/>
    <mergeCell ref="A4:J4"/>
    <mergeCell ref="A5:J5"/>
    <mergeCell ref="A6:J6"/>
    <mergeCell ref="A7:J7"/>
    <mergeCell ref="A8:J8"/>
    <mergeCell ref="A9:J9"/>
    <mergeCell ref="A10:J10"/>
    <mergeCell ref="A11:J11"/>
    <mergeCell ref="A12:J12"/>
    <mergeCell ref="A13:J13"/>
    <mergeCell ref="A15:J15"/>
    <mergeCell ref="A16:J16"/>
    <mergeCell ref="A17:J17"/>
    <mergeCell ref="A18:J18"/>
    <mergeCell ref="A19:J19"/>
    <mergeCell ref="A20:J20"/>
    <mergeCell ref="A21:J21"/>
    <mergeCell ref="A22:J22"/>
    <mergeCell ref="A23:J23"/>
    <mergeCell ref="A24:J24"/>
    <mergeCell ref="A25:J25"/>
    <mergeCell ref="A27:J27"/>
    <mergeCell ref="A28:J28"/>
    <mergeCell ref="A29:J29"/>
    <mergeCell ref="A30:J30"/>
    <mergeCell ref="A31:J31"/>
    <mergeCell ref="A32:J32"/>
    <mergeCell ref="A33:J33"/>
    <mergeCell ref="A34:J34"/>
    <mergeCell ref="A35:J35"/>
    <mergeCell ref="A36:J36"/>
    <mergeCell ref="A37:J37"/>
    <mergeCell ref="A39:J39"/>
    <mergeCell ref="A40:J40"/>
    <mergeCell ref="A41:J41"/>
    <mergeCell ref="A42:J42"/>
    <mergeCell ref="A43:J43"/>
    <mergeCell ref="A44:J44"/>
    <mergeCell ref="A45:J45"/>
    <mergeCell ref="A46:J46"/>
    <mergeCell ref="A47:J47"/>
    <mergeCell ref="A48:J48"/>
    <mergeCell ref="A49:J49"/>
    <mergeCell ref="A51:J51"/>
    <mergeCell ref="A52:J52"/>
    <mergeCell ref="A53:J53"/>
    <mergeCell ref="A54:J54"/>
    <mergeCell ref="A55:J55"/>
    <mergeCell ref="A56:J56"/>
    <mergeCell ref="A57:J57"/>
    <mergeCell ref="A58:J58"/>
    <mergeCell ref="A59:J59"/>
    <mergeCell ref="A60:J60"/>
    <mergeCell ref="A61:J61"/>
    <mergeCell ref="A62:J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34.5" hidden="false" customHeight="true" outlineLevel="0" collapsed="false">
      <c r="A1" s="128" t="s">
        <v>469</v>
      </c>
      <c r="B1" s="128"/>
      <c r="C1" s="128"/>
      <c r="D1" s="128"/>
    </row>
    <row r="3" customFormat="false" ht="24.75" hidden="false" customHeight="true" outlineLevel="0" collapsed="false">
      <c r="A3" s="17" t="s">
        <v>470</v>
      </c>
      <c r="B3" s="17"/>
      <c r="C3" s="17"/>
      <c r="D3" s="17"/>
    </row>
    <row r="4" customFormat="false" ht="15" hidden="false" customHeight="true" outlineLevel="0" collapsed="false">
      <c r="A4" s="129" t="s">
        <v>471</v>
      </c>
      <c r="B4" s="129"/>
      <c r="C4" s="129"/>
      <c r="D4" s="129"/>
    </row>
    <row r="5" customFormat="false" ht="15" hidden="false" customHeight="true" outlineLevel="0" collapsed="false">
      <c r="A5" s="130" t="s">
        <v>472</v>
      </c>
      <c r="B5" s="130"/>
      <c r="C5" s="130"/>
      <c r="D5" s="130"/>
    </row>
    <row r="6" customFormat="false" ht="15" hidden="false" customHeight="true" outlineLevel="0" collapsed="false">
      <c r="A6" s="130" t="s">
        <v>473</v>
      </c>
      <c r="B6" s="130"/>
      <c r="C6" s="130"/>
      <c r="D6" s="130"/>
    </row>
    <row r="7" customFormat="false" ht="15" hidden="false" customHeight="true" outlineLevel="0" collapsed="false">
      <c r="A7" s="131" t="s">
        <v>474</v>
      </c>
      <c r="B7" s="131"/>
      <c r="C7" s="131"/>
      <c r="D7" s="131"/>
    </row>
    <row r="8" customFormat="false" ht="15" hidden="false" customHeight="true" outlineLevel="0" collapsed="false">
      <c r="A8" s="131" t="s">
        <v>475</v>
      </c>
      <c r="B8" s="131"/>
      <c r="C8" s="131"/>
      <c r="D8" s="131"/>
    </row>
    <row r="9" customFormat="false" ht="15" hidden="false" customHeight="true" outlineLevel="0" collapsed="false">
      <c r="A9" s="131" t="s">
        <v>476</v>
      </c>
      <c r="B9" s="131"/>
      <c r="C9" s="131"/>
      <c r="D9" s="131"/>
    </row>
    <row r="10" customFormat="false" ht="15" hidden="false" customHeight="true" outlineLevel="0" collapsed="false">
      <c r="A10" s="131" t="s">
        <v>477</v>
      </c>
      <c r="B10" s="131"/>
      <c r="C10" s="131"/>
      <c r="D10" s="131"/>
    </row>
    <row r="11" customFormat="false" ht="15" hidden="false" customHeight="true" outlineLevel="0" collapsed="false">
      <c r="A11" s="131" t="s">
        <v>478</v>
      </c>
      <c r="B11" s="131"/>
      <c r="C11" s="131"/>
      <c r="D11" s="131"/>
    </row>
    <row r="12" customFormat="false" ht="15" hidden="false" customHeight="true" outlineLevel="0" collapsed="false">
      <c r="A12" s="131" t="s">
        <v>479</v>
      </c>
      <c r="B12" s="131"/>
      <c r="C12" s="131"/>
      <c r="D12" s="131"/>
    </row>
    <row r="13" customFormat="false" ht="15" hidden="false" customHeight="true" outlineLevel="0" collapsed="false">
      <c r="A13" s="131" t="s">
        <v>480</v>
      </c>
      <c r="B13" s="131"/>
      <c r="C13" s="131"/>
      <c r="D13" s="131"/>
    </row>
    <row r="14" customFormat="false" ht="15" hidden="false" customHeight="true" outlineLevel="0" collapsed="false">
      <c r="A14" s="130" t="s">
        <v>481</v>
      </c>
      <c r="B14" s="130"/>
      <c r="C14" s="130"/>
      <c r="D14" s="130"/>
    </row>
    <row r="15" customFormat="false" ht="15" hidden="false" customHeight="true" outlineLevel="0" collapsed="false">
      <c r="A15" s="130" t="s">
        <v>482</v>
      </c>
      <c r="B15" s="130"/>
      <c r="C15" s="130"/>
      <c r="D15" s="130"/>
    </row>
    <row r="16" customFormat="false" ht="15" hidden="false" customHeight="true" outlineLevel="0" collapsed="false">
      <c r="A16" s="130" t="s">
        <v>483</v>
      </c>
      <c r="B16" s="130"/>
      <c r="C16" s="130"/>
      <c r="D16" s="130"/>
    </row>
    <row r="17" customFormat="false" ht="15" hidden="false" customHeight="true" outlineLevel="0" collapsed="false">
      <c r="A17" s="131" t="s">
        <v>484</v>
      </c>
      <c r="B17" s="131"/>
      <c r="C17" s="131"/>
      <c r="D17" s="131"/>
    </row>
    <row r="18" customFormat="false" ht="15" hidden="false" customHeight="true" outlineLevel="0" collapsed="false">
      <c r="A18" s="130" t="s">
        <v>485</v>
      </c>
      <c r="B18" s="130"/>
      <c r="C18" s="130"/>
      <c r="D18" s="130"/>
    </row>
    <row r="19" customFormat="false" ht="15" hidden="false" customHeight="true" outlineLevel="0" collapsed="false">
      <c r="A19" s="131" t="s">
        <v>486</v>
      </c>
      <c r="B19" s="131"/>
      <c r="C19" s="131"/>
      <c r="D19" s="131"/>
    </row>
    <row r="20" customFormat="false" ht="15" hidden="false" customHeight="true" outlineLevel="0" collapsed="false">
      <c r="A20" s="130" t="s">
        <v>487</v>
      </c>
      <c r="B20" s="130"/>
      <c r="C20" s="130"/>
      <c r="D20" s="130"/>
    </row>
    <row r="21" customFormat="false" ht="15" hidden="false" customHeight="true" outlineLevel="0" collapsed="false">
      <c r="A21" s="130" t="s">
        <v>488</v>
      </c>
      <c r="B21" s="130"/>
      <c r="C21" s="130"/>
      <c r="D21" s="130"/>
    </row>
    <row r="22" customFormat="false" ht="15" hidden="false" customHeight="true" outlineLevel="0" collapsed="false">
      <c r="A22" s="131" t="s">
        <v>489</v>
      </c>
      <c r="B22" s="131"/>
      <c r="C22" s="131"/>
      <c r="D22" s="131"/>
    </row>
    <row r="23" customFormat="false" ht="15" hidden="false" customHeight="true" outlineLevel="0" collapsed="false">
      <c r="A23" s="131" t="s">
        <v>490</v>
      </c>
      <c r="B23" s="131"/>
      <c r="C23" s="131"/>
      <c r="D23" s="131"/>
    </row>
    <row r="24" customFormat="false" ht="15" hidden="false" customHeight="true" outlineLevel="0" collapsed="false">
      <c r="A24" s="130" t="s">
        <v>491</v>
      </c>
      <c r="B24" s="130"/>
      <c r="C24" s="130"/>
      <c r="D24" s="130"/>
    </row>
    <row r="25" customFormat="false" ht="15" hidden="false" customHeight="true" outlineLevel="0" collapsed="false">
      <c r="A25" s="131" t="s">
        <v>492</v>
      </c>
      <c r="B25" s="131"/>
      <c r="C25" s="131"/>
      <c r="D25" s="131"/>
    </row>
    <row r="26" customFormat="false" ht="15" hidden="false" customHeight="true" outlineLevel="0" collapsed="false">
      <c r="A26" s="130" t="s">
        <v>493</v>
      </c>
      <c r="B26" s="130"/>
      <c r="C26" s="130"/>
      <c r="D26" s="130"/>
    </row>
    <row r="27" customFormat="false" ht="15" hidden="false" customHeight="true" outlineLevel="0" collapsed="false">
      <c r="A27" s="130" t="s">
        <v>494</v>
      </c>
      <c r="B27" s="130"/>
      <c r="C27" s="130"/>
      <c r="D27" s="130"/>
    </row>
    <row r="28" customFormat="false" ht="15" hidden="false" customHeight="true" outlineLevel="0" collapsed="false">
      <c r="A28" s="130" t="s">
        <v>487</v>
      </c>
      <c r="B28" s="130"/>
      <c r="C28" s="130"/>
      <c r="D28" s="130"/>
    </row>
    <row r="29" customFormat="false" ht="15" hidden="false" customHeight="true" outlineLevel="0" collapsed="false">
      <c r="A29" s="130" t="s">
        <v>495</v>
      </c>
      <c r="B29" s="130"/>
      <c r="C29" s="130"/>
      <c r="D29" s="130"/>
    </row>
    <row r="30" customFormat="false" ht="15" hidden="false" customHeight="true" outlineLevel="0" collapsed="false">
      <c r="A30" s="130" t="s">
        <v>496</v>
      </c>
      <c r="B30" s="130"/>
      <c r="C30" s="130"/>
      <c r="D30" s="130"/>
    </row>
    <row r="31" customFormat="false" ht="15" hidden="false" customHeight="true" outlineLevel="0" collapsed="false">
      <c r="A31" s="131" t="s">
        <v>497</v>
      </c>
      <c r="B31" s="131"/>
      <c r="C31" s="131"/>
      <c r="D31" s="131"/>
    </row>
    <row r="32" customFormat="false" ht="15" hidden="false" customHeight="true" outlineLevel="0" collapsed="false">
      <c r="A32" s="130" t="s">
        <v>498</v>
      </c>
      <c r="B32" s="130"/>
      <c r="C32" s="130"/>
      <c r="D32" s="130"/>
    </row>
    <row r="33" customFormat="false" ht="15" hidden="false" customHeight="true" outlineLevel="0" collapsed="false">
      <c r="A33" s="130" t="s">
        <v>499</v>
      </c>
      <c r="B33" s="130"/>
      <c r="C33" s="130"/>
      <c r="D33" s="130"/>
    </row>
    <row r="34" customFormat="false" ht="15" hidden="false" customHeight="true" outlineLevel="0" collapsed="false">
      <c r="A34" s="130" t="s">
        <v>500</v>
      </c>
      <c r="B34" s="130"/>
      <c r="C34" s="130"/>
      <c r="D34" s="130"/>
    </row>
    <row r="36" customFormat="false" ht="24.75" hidden="false" customHeight="true" outlineLevel="0" collapsed="false">
      <c r="A36" s="132" t="s">
        <v>501</v>
      </c>
      <c r="B36" s="132"/>
      <c r="C36" s="132"/>
      <c r="D36" s="132"/>
    </row>
    <row r="37" customFormat="false" ht="15" hidden="false" customHeight="true" outlineLevel="0" collapsed="false">
      <c r="A37" s="129" t="s">
        <v>502</v>
      </c>
      <c r="B37" s="129"/>
      <c r="C37" s="129"/>
      <c r="D37" s="129"/>
    </row>
    <row r="38" customFormat="false" ht="15" hidden="false" customHeight="true" outlineLevel="0" collapsed="false">
      <c r="A38" s="130" t="s">
        <v>503</v>
      </c>
      <c r="B38" s="130"/>
      <c r="C38" s="130"/>
      <c r="D38" s="130"/>
    </row>
    <row r="39" customFormat="false" ht="15" hidden="false" customHeight="true" outlineLevel="0" collapsed="false">
      <c r="A39" s="130" t="s">
        <v>504</v>
      </c>
      <c r="B39" s="130"/>
      <c r="C39" s="130"/>
      <c r="D39" s="130"/>
    </row>
    <row r="40" customFormat="false" ht="15" hidden="false" customHeight="true" outlineLevel="0" collapsed="false">
      <c r="A40" s="131" t="s">
        <v>505</v>
      </c>
      <c r="B40" s="131"/>
      <c r="C40" s="131"/>
      <c r="D40" s="131"/>
    </row>
    <row r="41" customFormat="false" ht="15" hidden="false" customHeight="true" outlineLevel="0" collapsed="false">
      <c r="A41" s="131" t="s">
        <v>506</v>
      </c>
      <c r="B41" s="131"/>
      <c r="C41" s="131"/>
      <c r="D41" s="131"/>
    </row>
    <row r="42" customFormat="false" ht="15" hidden="false" customHeight="true" outlineLevel="0" collapsed="false">
      <c r="A42" s="131" t="s">
        <v>507</v>
      </c>
      <c r="B42" s="131"/>
      <c r="C42" s="131"/>
      <c r="D42" s="131"/>
    </row>
    <row r="43" customFormat="false" ht="15" hidden="false" customHeight="true" outlineLevel="0" collapsed="false">
      <c r="A43" s="131" t="s">
        <v>508</v>
      </c>
      <c r="B43" s="131"/>
      <c r="C43" s="131"/>
      <c r="D43" s="131"/>
    </row>
    <row r="44" customFormat="false" ht="15" hidden="false" customHeight="true" outlineLevel="0" collapsed="false">
      <c r="A44" s="131" t="s">
        <v>509</v>
      </c>
      <c r="B44" s="131"/>
      <c r="C44" s="131"/>
      <c r="D44" s="131"/>
    </row>
    <row r="45" customFormat="false" ht="15" hidden="false" customHeight="true" outlineLevel="0" collapsed="false">
      <c r="A45" s="131" t="s">
        <v>510</v>
      </c>
      <c r="B45" s="131"/>
      <c r="C45" s="131"/>
      <c r="D45" s="131"/>
    </row>
    <row r="46" customFormat="false" ht="15" hidden="false" customHeight="true" outlineLevel="0" collapsed="false">
      <c r="A46" s="130" t="s">
        <v>511</v>
      </c>
      <c r="B46" s="130"/>
      <c r="C46" s="130"/>
      <c r="D46" s="130"/>
    </row>
    <row r="47" customFormat="false" ht="15" hidden="false" customHeight="true" outlineLevel="0" collapsed="false">
      <c r="A47" s="130" t="s">
        <v>512</v>
      </c>
      <c r="B47" s="130"/>
      <c r="C47" s="130"/>
      <c r="D47" s="130"/>
    </row>
    <row r="48" customFormat="false" ht="15" hidden="false" customHeight="true" outlineLevel="0" collapsed="false">
      <c r="A48" s="131" t="s">
        <v>513</v>
      </c>
      <c r="B48" s="131"/>
      <c r="C48" s="131"/>
      <c r="D48" s="131"/>
    </row>
    <row r="49" customFormat="false" ht="15" hidden="false" customHeight="true" outlineLevel="0" collapsed="false">
      <c r="A49" s="131" t="s">
        <v>514</v>
      </c>
      <c r="B49" s="131"/>
      <c r="C49" s="131"/>
      <c r="D49" s="131"/>
    </row>
    <row r="50" customFormat="false" ht="15" hidden="false" customHeight="true" outlineLevel="0" collapsed="false">
      <c r="A50" s="130" t="s">
        <v>515</v>
      </c>
      <c r="B50" s="130"/>
      <c r="C50" s="130"/>
      <c r="D50" s="130"/>
    </row>
    <row r="51" customFormat="false" ht="15" hidden="false" customHeight="true" outlineLevel="0" collapsed="false">
      <c r="A51" s="131" t="s">
        <v>516</v>
      </c>
      <c r="B51" s="131"/>
      <c r="C51" s="131"/>
      <c r="D51" s="131"/>
    </row>
    <row r="52" customFormat="false" ht="15" hidden="false" customHeight="true" outlineLevel="0" collapsed="false">
      <c r="A52" s="130" t="s">
        <v>517</v>
      </c>
      <c r="B52" s="130"/>
      <c r="C52" s="130"/>
      <c r="D52" s="130"/>
    </row>
    <row r="53" customFormat="false" ht="15" hidden="false" customHeight="true" outlineLevel="0" collapsed="false">
      <c r="A53" s="130" t="s">
        <v>518</v>
      </c>
      <c r="B53" s="130"/>
      <c r="C53" s="130"/>
      <c r="D53" s="130"/>
    </row>
    <row r="55" customFormat="false" ht="24.75" hidden="false" customHeight="true" outlineLevel="0" collapsed="false">
      <c r="A55" s="17" t="s">
        <v>519</v>
      </c>
      <c r="B55" s="17"/>
      <c r="C55" s="17"/>
      <c r="D55" s="17"/>
    </row>
    <row r="56" customFormat="false" ht="15" hidden="false" customHeight="true" outlineLevel="0" collapsed="false">
      <c r="A56" s="129" t="s">
        <v>520</v>
      </c>
      <c r="B56" s="129"/>
      <c r="C56" s="129"/>
      <c r="D56" s="129"/>
    </row>
    <row r="57" customFormat="false" ht="15" hidden="false" customHeight="true" outlineLevel="0" collapsed="false">
      <c r="A57" s="130" t="s">
        <v>521</v>
      </c>
      <c r="B57" s="130"/>
      <c r="C57" s="130"/>
      <c r="D57" s="130"/>
    </row>
    <row r="58" customFormat="false" ht="15" hidden="false" customHeight="true" outlineLevel="0" collapsed="false">
      <c r="A58" s="130" t="s">
        <v>473</v>
      </c>
      <c r="B58" s="130"/>
      <c r="C58" s="130"/>
      <c r="D58" s="130"/>
    </row>
    <row r="59" customFormat="false" ht="15" hidden="false" customHeight="true" outlineLevel="0" collapsed="false">
      <c r="A59" s="131" t="s">
        <v>522</v>
      </c>
      <c r="B59" s="131"/>
      <c r="C59" s="131"/>
      <c r="D59" s="131"/>
    </row>
    <row r="60" customFormat="false" ht="15" hidden="false" customHeight="true" outlineLevel="0" collapsed="false">
      <c r="A60" s="131" t="s">
        <v>523</v>
      </c>
      <c r="B60" s="131"/>
      <c r="C60" s="131"/>
      <c r="D60" s="131"/>
    </row>
    <row r="61" customFormat="false" ht="15" hidden="false" customHeight="true" outlineLevel="0" collapsed="false">
      <c r="A61" s="131" t="s">
        <v>524</v>
      </c>
      <c r="B61" s="131"/>
      <c r="C61" s="131"/>
      <c r="D61" s="131"/>
    </row>
    <row r="62" customFormat="false" ht="15" hidden="false" customHeight="true" outlineLevel="0" collapsed="false">
      <c r="A62" s="131" t="s">
        <v>525</v>
      </c>
      <c r="B62" s="131"/>
      <c r="C62" s="131"/>
      <c r="D62" s="131"/>
    </row>
    <row r="63" customFormat="false" ht="15" hidden="false" customHeight="true" outlineLevel="0" collapsed="false">
      <c r="A63" s="131" t="s">
        <v>526</v>
      </c>
      <c r="B63" s="131"/>
      <c r="C63" s="131"/>
      <c r="D63" s="131"/>
    </row>
    <row r="64" customFormat="false" ht="15" hidden="false" customHeight="true" outlineLevel="0" collapsed="false">
      <c r="A64" s="131" t="s">
        <v>527</v>
      </c>
      <c r="B64" s="131"/>
      <c r="C64" s="131"/>
      <c r="D64" s="131"/>
    </row>
    <row r="65" customFormat="false" ht="15" hidden="false" customHeight="true" outlineLevel="0" collapsed="false">
      <c r="A65" s="131" t="s">
        <v>528</v>
      </c>
      <c r="B65" s="131"/>
      <c r="C65" s="131"/>
      <c r="D65" s="131"/>
    </row>
    <row r="66" customFormat="false" ht="15" hidden="false" customHeight="true" outlineLevel="0" collapsed="false">
      <c r="A66" s="131" t="s">
        <v>529</v>
      </c>
      <c r="B66" s="131"/>
      <c r="C66" s="131"/>
      <c r="D66" s="131"/>
    </row>
    <row r="67" customFormat="false" ht="15" hidden="false" customHeight="true" outlineLevel="0" collapsed="false">
      <c r="A67" s="131" t="s">
        <v>530</v>
      </c>
      <c r="B67" s="131"/>
      <c r="C67" s="131"/>
      <c r="D67" s="131"/>
    </row>
    <row r="68" customFormat="false" ht="15" hidden="false" customHeight="true" outlineLevel="0" collapsed="false">
      <c r="A68" s="130" t="s">
        <v>531</v>
      </c>
      <c r="B68" s="130"/>
      <c r="C68" s="130"/>
      <c r="D68" s="130"/>
    </row>
    <row r="69" customFormat="false" ht="15" hidden="false" customHeight="true" outlineLevel="0" collapsed="false">
      <c r="A69" s="130" t="s">
        <v>532</v>
      </c>
      <c r="B69" s="130"/>
      <c r="C69" s="130"/>
      <c r="D69" s="130"/>
    </row>
    <row r="70" customFormat="false" ht="15" hidden="false" customHeight="true" outlineLevel="0" collapsed="false">
      <c r="A70" s="130" t="s">
        <v>533</v>
      </c>
      <c r="B70" s="130"/>
      <c r="C70" s="130"/>
      <c r="D70" s="130"/>
    </row>
    <row r="71" customFormat="false" ht="15" hidden="false" customHeight="true" outlineLevel="0" collapsed="false">
      <c r="A71" s="130" t="s">
        <v>534</v>
      </c>
      <c r="B71" s="130"/>
      <c r="C71" s="130"/>
      <c r="D71" s="130"/>
    </row>
    <row r="72" customFormat="false" ht="15" hidden="false" customHeight="true" outlineLevel="0" collapsed="false">
      <c r="A72" s="130" t="s">
        <v>532</v>
      </c>
      <c r="B72" s="130"/>
      <c r="C72" s="130"/>
      <c r="D72" s="130"/>
    </row>
    <row r="73" customFormat="false" ht="15" hidden="false" customHeight="true" outlineLevel="0" collapsed="false">
      <c r="A73" s="130" t="s">
        <v>535</v>
      </c>
      <c r="B73" s="130"/>
      <c r="C73" s="130"/>
      <c r="D73" s="130"/>
    </row>
    <row r="74" customFormat="false" ht="15" hidden="false" customHeight="true" outlineLevel="0" collapsed="false">
      <c r="A74" s="130" t="s">
        <v>536</v>
      </c>
      <c r="B74" s="130"/>
      <c r="C74" s="130"/>
      <c r="D74" s="130"/>
    </row>
    <row r="75" customFormat="false" ht="15" hidden="false" customHeight="true" outlineLevel="0" collapsed="false">
      <c r="A75" s="130" t="s">
        <v>537</v>
      </c>
      <c r="B75" s="130"/>
      <c r="C75" s="130"/>
      <c r="D75" s="130"/>
    </row>
    <row r="76" customFormat="false" ht="15" hidden="false" customHeight="true" outlineLevel="0" collapsed="false">
      <c r="A76" s="130" t="s">
        <v>538</v>
      </c>
      <c r="B76" s="130"/>
      <c r="C76" s="130"/>
      <c r="D76" s="130"/>
    </row>
    <row r="77" customFormat="false" ht="15" hidden="false" customHeight="true" outlineLevel="0" collapsed="false">
      <c r="A77" s="130" t="s">
        <v>539</v>
      </c>
      <c r="B77" s="130"/>
      <c r="C77" s="130"/>
      <c r="D77" s="130"/>
    </row>
    <row r="78" customFormat="false" ht="15" hidden="false" customHeight="true" outlineLevel="0" collapsed="false">
      <c r="A78" s="130" t="s">
        <v>540</v>
      </c>
      <c r="B78" s="130"/>
      <c r="C78" s="130"/>
      <c r="D78" s="130"/>
    </row>
    <row r="79" customFormat="false" ht="15" hidden="false" customHeight="true" outlineLevel="0" collapsed="false">
      <c r="A79" s="130" t="s">
        <v>541</v>
      </c>
      <c r="B79" s="130"/>
      <c r="C79" s="130"/>
      <c r="D79" s="130"/>
    </row>
    <row r="81" customFormat="false" ht="24.75" hidden="false" customHeight="true" outlineLevel="0" collapsed="false">
      <c r="A81" s="132" t="s">
        <v>542</v>
      </c>
      <c r="B81" s="132"/>
      <c r="C81" s="132"/>
      <c r="D81" s="132"/>
    </row>
    <row r="82" customFormat="false" ht="15" hidden="false" customHeight="true" outlineLevel="0" collapsed="false">
      <c r="A82" s="129" t="s">
        <v>543</v>
      </c>
      <c r="B82" s="129"/>
      <c r="C82" s="129"/>
      <c r="D82" s="129"/>
    </row>
    <row r="83" customFormat="false" ht="15" hidden="false" customHeight="true" outlineLevel="0" collapsed="false">
      <c r="A83" s="130" t="s">
        <v>544</v>
      </c>
      <c r="B83" s="130"/>
      <c r="C83" s="130"/>
      <c r="D83" s="130"/>
    </row>
    <row r="84" customFormat="false" ht="15" hidden="false" customHeight="true" outlineLevel="0" collapsed="false">
      <c r="A84" s="130" t="s">
        <v>473</v>
      </c>
      <c r="B84" s="130"/>
      <c r="C84" s="130"/>
      <c r="D84" s="130"/>
    </row>
    <row r="85" customFormat="false" ht="15" hidden="false" customHeight="true" outlineLevel="0" collapsed="false">
      <c r="A85" s="131" t="s">
        <v>522</v>
      </c>
      <c r="B85" s="131"/>
      <c r="C85" s="131"/>
      <c r="D85" s="131"/>
    </row>
    <row r="86" customFormat="false" ht="15" hidden="false" customHeight="true" outlineLevel="0" collapsed="false">
      <c r="A86" s="131" t="s">
        <v>545</v>
      </c>
      <c r="B86" s="131"/>
      <c r="C86" s="131"/>
      <c r="D86" s="131"/>
    </row>
    <row r="87" customFormat="false" ht="15" hidden="false" customHeight="true" outlineLevel="0" collapsed="false">
      <c r="A87" s="131" t="s">
        <v>546</v>
      </c>
      <c r="B87" s="131"/>
      <c r="C87" s="131"/>
      <c r="D87" s="131"/>
    </row>
    <row r="88" customFormat="false" ht="15" hidden="false" customHeight="true" outlineLevel="0" collapsed="false">
      <c r="A88" s="131" t="s">
        <v>547</v>
      </c>
      <c r="B88" s="131"/>
      <c r="C88" s="131"/>
      <c r="D88" s="131"/>
    </row>
    <row r="89" customFormat="false" ht="15" hidden="false" customHeight="true" outlineLevel="0" collapsed="false">
      <c r="A89" s="131" t="s">
        <v>548</v>
      </c>
      <c r="B89" s="131"/>
      <c r="C89" s="131"/>
      <c r="D89" s="131"/>
    </row>
    <row r="90" customFormat="false" ht="15" hidden="false" customHeight="true" outlineLevel="0" collapsed="false">
      <c r="A90" s="131" t="s">
        <v>549</v>
      </c>
      <c r="B90" s="131"/>
      <c r="C90" s="131"/>
      <c r="D90" s="131"/>
    </row>
    <row r="91" customFormat="false" ht="15" hidden="false" customHeight="true" outlineLevel="0" collapsed="false">
      <c r="A91" s="131" t="s">
        <v>550</v>
      </c>
      <c r="B91" s="131"/>
      <c r="C91" s="131"/>
      <c r="D91" s="131"/>
    </row>
    <row r="92" customFormat="false" ht="15" hidden="false" customHeight="true" outlineLevel="0" collapsed="false">
      <c r="A92" s="130" t="s">
        <v>540</v>
      </c>
      <c r="B92" s="130"/>
      <c r="C92" s="130"/>
      <c r="D92" s="130"/>
    </row>
    <row r="93" customFormat="false" ht="15" hidden="false" customHeight="true" outlineLevel="0" collapsed="false">
      <c r="A93" s="130" t="s">
        <v>541</v>
      </c>
      <c r="B93" s="130"/>
      <c r="C93" s="130"/>
      <c r="D93" s="130"/>
    </row>
    <row r="94" customFormat="false" ht="15" hidden="false" customHeight="true" outlineLevel="0" collapsed="false">
      <c r="A94" s="131"/>
      <c r="B94" s="131"/>
      <c r="C94" s="131"/>
      <c r="D94" s="131"/>
    </row>
    <row r="95" customFormat="false" ht="15" hidden="false" customHeight="true" outlineLevel="0" collapsed="false">
      <c r="A95" s="129" t="s">
        <v>551</v>
      </c>
      <c r="B95" s="129"/>
      <c r="C95" s="129"/>
      <c r="D95" s="129"/>
    </row>
    <row r="96" customFormat="false" ht="15" hidden="false" customHeight="true" outlineLevel="0" collapsed="false">
      <c r="A96" s="130" t="s">
        <v>552</v>
      </c>
      <c r="B96" s="130"/>
      <c r="C96" s="130"/>
      <c r="D96" s="130"/>
    </row>
    <row r="97" customFormat="false" ht="15" hidden="false" customHeight="true" outlineLevel="0" collapsed="false">
      <c r="A97" s="130" t="s">
        <v>473</v>
      </c>
      <c r="B97" s="130"/>
      <c r="C97" s="130"/>
      <c r="D97" s="130"/>
    </row>
    <row r="98" customFormat="false" ht="15" hidden="false" customHeight="true" outlineLevel="0" collapsed="false">
      <c r="A98" s="131" t="s">
        <v>553</v>
      </c>
      <c r="B98" s="131"/>
      <c r="C98" s="131"/>
      <c r="D98" s="131"/>
    </row>
    <row r="99" customFormat="false" ht="15" hidden="false" customHeight="true" outlineLevel="0" collapsed="false">
      <c r="A99" s="131" t="s">
        <v>545</v>
      </c>
      <c r="B99" s="131"/>
      <c r="C99" s="131"/>
      <c r="D99" s="131"/>
    </row>
    <row r="100" customFormat="false" ht="15" hidden="false" customHeight="true" outlineLevel="0" collapsed="false">
      <c r="A100" s="131" t="s">
        <v>554</v>
      </c>
      <c r="B100" s="131"/>
      <c r="C100" s="131"/>
      <c r="D100" s="131"/>
    </row>
    <row r="101" customFormat="false" ht="15" hidden="false" customHeight="true" outlineLevel="0" collapsed="false">
      <c r="A101" s="131" t="s">
        <v>555</v>
      </c>
      <c r="B101" s="131"/>
      <c r="C101" s="131"/>
      <c r="D101" s="131"/>
    </row>
    <row r="102" customFormat="false" ht="15" hidden="false" customHeight="true" outlineLevel="0" collapsed="false">
      <c r="A102" s="130" t="s">
        <v>540</v>
      </c>
      <c r="B102" s="130"/>
      <c r="C102" s="130"/>
      <c r="D102" s="130"/>
    </row>
    <row r="103" customFormat="false" ht="15" hidden="false" customHeight="true" outlineLevel="0" collapsed="false">
      <c r="A103" s="130" t="s">
        <v>556</v>
      </c>
      <c r="B103" s="130"/>
      <c r="C103" s="130"/>
      <c r="D103" s="130"/>
    </row>
    <row r="105" customFormat="false" ht="24.75" hidden="false" customHeight="true" outlineLevel="0" collapsed="false">
      <c r="A105" s="17" t="s">
        <v>557</v>
      </c>
      <c r="B105" s="17"/>
      <c r="C105" s="17"/>
      <c r="D105" s="17"/>
    </row>
    <row r="106" customFormat="false" ht="15" hidden="false" customHeight="true" outlineLevel="0" collapsed="false">
      <c r="A106" s="129" t="s">
        <v>558</v>
      </c>
      <c r="B106" s="129"/>
      <c r="C106" s="129"/>
      <c r="D106" s="129"/>
    </row>
    <row r="107" customFormat="false" ht="15" hidden="false" customHeight="true" outlineLevel="0" collapsed="false">
      <c r="A107" s="130" t="s">
        <v>559</v>
      </c>
      <c r="B107" s="130"/>
      <c r="C107" s="130"/>
      <c r="D107" s="130"/>
    </row>
    <row r="108" customFormat="false" ht="15" hidden="false" customHeight="true" outlineLevel="0" collapsed="false">
      <c r="A108" s="130" t="s">
        <v>473</v>
      </c>
      <c r="B108" s="130"/>
      <c r="C108" s="130"/>
      <c r="D108" s="130"/>
    </row>
    <row r="109" customFormat="false" ht="15" hidden="false" customHeight="true" outlineLevel="0" collapsed="false">
      <c r="A109" s="130" t="s">
        <v>560</v>
      </c>
      <c r="B109" s="130"/>
      <c r="C109" s="130"/>
      <c r="D109" s="130"/>
    </row>
    <row r="110" customFormat="false" ht="15" hidden="false" customHeight="true" outlineLevel="0" collapsed="false">
      <c r="A110" s="131" t="s">
        <v>561</v>
      </c>
      <c r="B110" s="131"/>
      <c r="C110" s="131"/>
      <c r="D110" s="131"/>
    </row>
    <row r="111" customFormat="false" ht="15" hidden="false" customHeight="true" outlineLevel="0" collapsed="false">
      <c r="A111" s="131" t="s">
        <v>562</v>
      </c>
      <c r="B111" s="131"/>
      <c r="C111" s="131"/>
      <c r="D111" s="131"/>
    </row>
    <row r="112" customFormat="false" ht="15" hidden="false" customHeight="true" outlineLevel="0" collapsed="false">
      <c r="A112" s="131" t="s">
        <v>563</v>
      </c>
      <c r="B112" s="131"/>
      <c r="C112" s="131"/>
      <c r="D112" s="131"/>
    </row>
    <row r="113" customFormat="false" ht="15" hidden="false" customHeight="true" outlineLevel="0" collapsed="false">
      <c r="A113" s="130" t="s">
        <v>540</v>
      </c>
      <c r="B113" s="130"/>
      <c r="C113" s="130"/>
      <c r="D113" s="130"/>
    </row>
    <row r="114" customFormat="false" ht="15" hidden="false" customHeight="true" outlineLevel="0" collapsed="false">
      <c r="A114" s="130" t="s">
        <v>564</v>
      </c>
      <c r="B114" s="130"/>
      <c r="C114" s="130"/>
      <c r="D114" s="130"/>
    </row>
    <row r="115" customFormat="false" ht="15" hidden="false" customHeight="true" outlineLevel="0" collapsed="false">
      <c r="A115" s="131"/>
      <c r="B115" s="131"/>
      <c r="C115" s="131"/>
      <c r="D115" s="131"/>
    </row>
    <row r="116" customFormat="false" ht="15" hidden="false" customHeight="true" outlineLevel="0" collapsed="false">
      <c r="A116" s="130" t="s">
        <v>565</v>
      </c>
      <c r="B116" s="130"/>
      <c r="C116" s="130"/>
      <c r="D116" s="130"/>
    </row>
    <row r="117" customFormat="false" ht="15" hidden="false" customHeight="true" outlineLevel="0" collapsed="false">
      <c r="A117" s="130" t="s">
        <v>473</v>
      </c>
      <c r="B117" s="130"/>
      <c r="C117" s="130"/>
      <c r="D117" s="130"/>
    </row>
    <row r="118" customFormat="false" ht="15" hidden="false" customHeight="true" outlineLevel="0" collapsed="false">
      <c r="A118" s="131" t="s">
        <v>566</v>
      </c>
      <c r="B118" s="131"/>
      <c r="C118" s="131"/>
      <c r="D118" s="131"/>
    </row>
    <row r="119" customFormat="false" ht="15" hidden="false" customHeight="true" outlineLevel="0" collapsed="false">
      <c r="A119" s="131" t="s">
        <v>567</v>
      </c>
      <c r="B119" s="131"/>
      <c r="C119" s="131"/>
      <c r="D119" s="131"/>
    </row>
    <row r="120" customFormat="false" ht="15" hidden="false" customHeight="true" outlineLevel="0" collapsed="false">
      <c r="A120" s="131" t="s">
        <v>568</v>
      </c>
      <c r="B120" s="131"/>
      <c r="C120" s="131"/>
      <c r="D120" s="131"/>
    </row>
    <row r="121" customFormat="false" ht="15" hidden="false" customHeight="true" outlineLevel="0" collapsed="false">
      <c r="A121" s="130" t="s">
        <v>569</v>
      </c>
      <c r="B121" s="130"/>
      <c r="C121" s="130"/>
      <c r="D121" s="130"/>
    </row>
    <row r="122" customFormat="false" ht="15" hidden="false" customHeight="true" outlineLevel="0" collapsed="false">
      <c r="A122" s="130" t="s">
        <v>570</v>
      </c>
      <c r="B122" s="130"/>
      <c r="C122" s="130"/>
      <c r="D122" s="130"/>
    </row>
    <row r="123" customFormat="false" ht="15" hidden="false" customHeight="true" outlineLevel="0" collapsed="false">
      <c r="A123" s="130" t="s">
        <v>571</v>
      </c>
      <c r="B123" s="130"/>
      <c r="C123" s="130"/>
      <c r="D123" s="130"/>
    </row>
    <row r="124" customFormat="false" ht="15" hidden="false" customHeight="true" outlineLevel="0" collapsed="false">
      <c r="A124" s="130" t="s">
        <v>572</v>
      </c>
      <c r="B124" s="130"/>
      <c r="C124" s="130"/>
      <c r="D124" s="130"/>
    </row>
    <row r="125" customFormat="false" ht="15" hidden="false" customHeight="true" outlineLevel="0" collapsed="false">
      <c r="A125" s="131"/>
      <c r="B125" s="131"/>
      <c r="C125" s="131"/>
      <c r="D125" s="131"/>
    </row>
    <row r="126" customFormat="false" ht="15" hidden="false" customHeight="true" outlineLevel="0" collapsed="false">
      <c r="A126" s="129" t="s">
        <v>573</v>
      </c>
      <c r="B126" s="129"/>
      <c r="C126" s="129"/>
      <c r="D126" s="129"/>
    </row>
    <row r="127" customFormat="false" ht="15" hidden="false" customHeight="true" outlineLevel="0" collapsed="false">
      <c r="A127" s="130" t="s">
        <v>574</v>
      </c>
      <c r="B127" s="130"/>
      <c r="C127" s="130"/>
      <c r="D127" s="130"/>
    </row>
    <row r="128" customFormat="false" ht="15" hidden="false" customHeight="true" outlineLevel="0" collapsed="false">
      <c r="A128" s="130" t="s">
        <v>575</v>
      </c>
      <c r="B128" s="130"/>
      <c r="C128" s="130"/>
      <c r="D128" s="130"/>
    </row>
    <row r="129" customFormat="false" ht="15" hidden="false" customHeight="true" outlineLevel="0" collapsed="false">
      <c r="A129" s="131" t="s">
        <v>576</v>
      </c>
      <c r="B129" s="131"/>
      <c r="C129" s="131"/>
      <c r="D129" s="131"/>
    </row>
    <row r="130" customFormat="false" ht="15" hidden="false" customHeight="true" outlineLevel="0" collapsed="false">
      <c r="A130" s="130" t="s">
        <v>577</v>
      </c>
      <c r="B130" s="130"/>
      <c r="C130" s="130"/>
      <c r="D130" s="130"/>
    </row>
    <row r="131" customFormat="false" ht="15" hidden="false" customHeight="true" outlineLevel="0" collapsed="false">
      <c r="A131" s="131" t="s">
        <v>578</v>
      </c>
      <c r="B131" s="131"/>
      <c r="C131" s="131"/>
      <c r="D131" s="131"/>
    </row>
    <row r="132" customFormat="false" ht="15" hidden="false" customHeight="true" outlineLevel="0" collapsed="false">
      <c r="A132" s="130" t="s">
        <v>579</v>
      </c>
      <c r="B132" s="130"/>
      <c r="C132" s="130"/>
      <c r="D132" s="130"/>
    </row>
    <row r="133" customFormat="false" ht="15" hidden="false" customHeight="true" outlineLevel="0" collapsed="false">
      <c r="A133" s="131" t="s">
        <v>580</v>
      </c>
      <c r="B133" s="131"/>
      <c r="C133" s="131"/>
      <c r="D133" s="131"/>
    </row>
    <row r="134" customFormat="false" ht="15" hidden="false" customHeight="true" outlineLevel="0" collapsed="false">
      <c r="A134" s="130" t="s">
        <v>581</v>
      </c>
      <c r="B134" s="130"/>
      <c r="C134" s="130"/>
      <c r="D134" s="130"/>
    </row>
    <row r="136" customFormat="false" ht="24.75" hidden="false" customHeight="true" outlineLevel="0" collapsed="false">
      <c r="A136" s="132" t="s">
        <v>582</v>
      </c>
      <c r="B136" s="132"/>
      <c r="C136" s="132"/>
      <c r="D136" s="132"/>
    </row>
    <row r="137" customFormat="false" ht="15" hidden="false" customHeight="true" outlineLevel="0" collapsed="false">
      <c r="A137" s="129" t="s">
        <v>583</v>
      </c>
      <c r="B137" s="129"/>
      <c r="C137" s="129"/>
      <c r="D137" s="129"/>
    </row>
    <row r="138" customFormat="false" ht="15" hidden="false" customHeight="true" outlineLevel="0" collapsed="false">
      <c r="A138" s="130" t="s">
        <v>584</v>
      </c>
      <c r="B138" s="130"/>
      <c r="C138" s="130"/>
      <c r="D138" s="130"/>
    </row>
    <row r="139" customFormat="false" ht="15" hidden="false" customHeight="true" outlineLevel="0" collapsed="false">
      <c r="A139" s="130" t="s">
        <v>585</v>
      </c>
      <c r="B139" s="130"/>
      <c r="C139" s="130"/>
      <c r="D139" s="130"/>
    </row>
    <row r="140" customFormat="false" ht="15" hidden="false" customHeight="true" outlineLevel="0" collapsed="false">
      <c r="A140" s="130" t="s">
        <v>586</v>
      </c>
      <c r="B140" s="130"/>
      <c r="C140" s="130"/>
      <c r="D140" s="130"/>
    </row>
    <row r="141" customFormat="false" ht="15" hidden="false" customHeight="true" outlineLevel="0" collapsed="false">
      <c r="A141" s="131" t="s">
        <v>587</v>
      </c>
      <c r="B141" s="131"/>
      <c r="C141" s="131"/>
      <c r="D141" s="131"/>
    </row>
    <row r="142" customFormat="false" ht="15" hidden="false" customHeight="true" outlineLevel="0" collapsed="false">
      <c r="A142" s="131" t="s">
        <v>588</v>
      </c>
      <c r="B142" s="131"/>
      <c r="C142" s="131"/>
      <c r="D142" s="131"/>
    </row>
    <row r="143" customFormat="false" ht="15" hidden="false" customHeight="true" outlineLevel="0" collapsed="false">
      <c r="A143" s="131" t="s">
        <v>589</v>
      </c>
      <c r="B143" s="131"/>
      <c r="C143" s="131"/>
      <c r="D143" s="131"/>
    </row>
    <row r="144" customFormat="false" ht="15" hidden="false" customHeight="true" outlineLevel="0" collapsed="false">
      <c r="A144" s="131" t="s">
        <v>590</v>
      </c>
      <c r="B144" s="131"/>
      <c r="C144" s="131"/>
      <c r="D144" s="131"/>
    </row>
    <row r="145" customFormat="false" ht="15" hidden="false" customHeight="true" outlineLevel="0" collapsed="false">
      <c r="A145" s="129" t="s">
        <v>591</v>
      </c>
      <c r="B145" s="129"/>
      <c r="C145" s="129"/>
      <c r="D145" s="129"/>
    </row>
    <row r="146" customFormat="false" ht="15" hidden="false" customHeight="true" outlineLevel="0" collapsed="false">
      <c r="A146" s="131" t="s">
        <v>592</v>
      </c>
      <c r="B146" s="131"/>
      <c r="C146" s="131"/>
      <c r="D146" s="131"/>
    </row>
    <row r="147" customFormat="false" ht="15" hidden="false" customHeight="true" outlineLevel="0" collapsed="false">
      <c r="A147" s="131" t="s">
        <v>593</v>
      </c>
      <c r="B147" s="131"/>
      <c r="C147" s="131"/>
      <c r="D147" s="131"/>
    </row>
    <row r="148" customFormat="false" ht="15" hidden="false" customHeight="true" outlineLevel="0" collapsed="false">
      <c r="A148" s="131" t="s">
        <v>594</v>
      </c>
      <c r="B148" s="131"/>
      <c r="C148" s="131"/>
      <c r="D148" s="131"/>
    </row>
    <row r="149" customFormat="false" ht="15" hidden="false" customHeight="true" outlineLevel="0" collapsed="false">
      <c r="A149" s="131" t="s">
        <v>595</v>
      </c>
      <c r="B149" s="131"/>
      <c r="C149" s="131"/>
      <c r="D149" s="131"/>
    </row>
    <row r="150" customFormat="false" ht="15" hidden="false" customHeight="true" outlineLevel="0" collapsed="false">
      <c r="A150" s="131" t="s">
        <v>596</v>
      </c>
      <c r="B150" s="131"/>
      <c r="C150" s="131"/>
      <c r="D150" s="131"/>
    </row>
    <row r="151" customFormat="false" ht="15" hidden="false" customHeight="true" outlineLevel="0" collapsed="false">
      <c r="A151" s="131" t="s">
        <v>597</v>
      </c>
      <c r="B151" s="131"/>
      <c r="C151" s="131"/>
      <c r="D151" s="131"/>
    </row>
    <row r="152" customFormat="false" ht="15" hidden="false" customHeight="true" outlineLevel="0" collapsed="false">
      <c r="A152" s="131" t="s">
        <v>598</v>
      </c>
      <c r="B152" s="131"/>
      <c r="C152" s="131"/>
      <c r="D152" s="131"/>
    </row>
    <row r="153" customFormat="false" ht="15" hidden="false" customHeight="true" outlineLevel="0" collapsed="false">
      <c r="A153" s="130" t="s">
        <v>599</v>
      </c>
      <c r="B153" s="130"/>
      <c r="C153" s="130"/>
      <c r="D153" s="130"/>
    </row>
    <row r="154" customFormat="false" ht="15" hidden="false" customHeight="true" outlineLevel="0" collapsed="false">
      <c r="A154" s="130" t="s">
        <v>600</v>
      </c>
      <c r="B154" s="130"/>
      <c r="C154" s="130"/>
      <c r="D154" s="130"/>
    </row>
    <row r="155" customFormat="false" ht="15" hidden="false" customHeight="true" outlineLevel="0" collapsed="false">
      <c r="A155" s="131" t="s">
        <v>578</v>
      </c>
      <c r="B155" s="131"/>
      <c r="C155" s="131"/>
      <c r="D155" s="131"/>
    </row>
    <row r="156" customFormat="false" ht="15" hidden="false" customHeight="true" outlineLevel="0" collapsed="false">
      <c r="A156" s="130" t="s">
        <v>504</v>
      </c>
      <c r="B156" s="130"/>
      <c r="C156" s="130"/>
      <c r="D156" s="130"/>
    </row>
    <row r="157" customFormat="false" ht="15" hidden="false" customHeight="true" outlineLevel="0" collapsed="false">
      <c r="A157" s="131" t="s">
        <v>601</v>
      </c>
      <c r="B157" s="131"/>
      <c r="C157" s="131"/>
      <c r="D157" s="131"/>
    </row>
    <row r="158" customFormat="false" ht="15" hidden="false" customHeight="true" outlineLevel="0" collapsed="false">
      <c r="A158" s="130" t="s">
        <v>531</v>
      </c>
      <c r="B158" s="130"/>
      <c r="C158" s="130"/>
      <c r="D158" s="130"/>
    </row>
    <row r="159" customFormat="false" ht="15" hidden="false" customHeight="true" outlineLevel="0" collapsed="false">
      <c r="A159" s="130" t="s">
        <v>602</v>
      </c>
      <c r="B159" s="130"/>
      <c r="C159" s="130"/>
      <c r="D159" s="130"/>
    </row>
    <row r="160" customFormat="false" ht="15" hidden="false" customHeight="true" outlineLevel="0" collapsed="false">
      <c r="A160" s="130" t="s">
        <v>603</v>
      </c>
      <c r="B160" s="130"/>
      <c r="C160" s="130"/>
      <c r="D160" s="130"/>
    </row>
    <row r="161" customFormat="false" ht="15" hidden="false" customHeight="true" outlineLevel="0" collapsed="false">
      <c r="A161" s="130" t="s">
        <v>604</v>
      </c>
      <c r="B161" s="130"/>
      <c r="C161" s="130"/>
      <c r="D161" s="130"/>
    </row>
    <row r="162" customFormat="false" ht="15" hidden="false" customHeight="true" outlineLevel="0" collapsed="false">
      <c r="A162" s="130" t="s">
        <v>605</v>
      </c>
      <c r="B162" s="130"/>
      <c r="C162" s="130"/>
      <c r="D162" s="130"/>
    </row>
    <row r="163" customFormat="false" ht="15" hidden="false" customHeight="true" outlineLevel="0" collapsed="false">
      <c r="A163" s="130" t="s">
        <v>606</v>
      </c>
      <c r="B163" s="130"/>
      <c r="C163" s="130"/>
      <c r="D163" s="130"/>
    </row>
    <row r="164" customFormat="false" ht="15" hidden="false" customHeight="true" outlineLevel="0" collapsed="false">
      <c r="A164" s="131" t="s">
        <v>607</v>
      </c>
      <c r="B164" s="131"/>
      <c r="C164" s="131"/>
      <c r="D164" s="131"/>
    </row>
    <row r="165" customFormat="false" ht="15" hidden="false" customHeight="true" outlineLevel="0" collapsed="false">
      <c r="A165" s="130" t="s">
        <v>608</v>
      </c>
      <c r="B165" s="130"/>
      <c r="C165" s="130"/>
      <c r="D165" s="130"/>
    </row>
  </sheetData>
  <mergeCells count="159">
    <mergeCell ref="A1:D1"/>
    <mergeCell ref="A3:D3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53:D153"/>
    <mergeCell ref="A154:D154"/>
    <mergeCell ref="A155:D155"/>
    <mergeCell ref="A156:D156"/>
    <mergeCell ref="A157:D157"/>
    <mergeCell ref="A158:D158"/>
    <mergeCell ref="A159:D159"/>
    <mergeCell ref="A160:D160"/>
    <mergeCell ref="A161:D161"/>
    <mergeCell ref="A162:D162"/>
    <mergeCell ref="A163:D163"/>
    <mergeCell ref="A164:D164"/>
    <mergeCell ref="A165:D1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2026-02-24T01:09:57Z</dcterms:created>
  <dc:creator>openpyxl</dc:creator>
  <dc:description/>
  <dc:language>en-US</dc:language>
  <cp:lastModifiedBy/>
  <dcterms:modified xsi:type="dcterms:W3CDTF">2026-02-24T01:10:04Z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